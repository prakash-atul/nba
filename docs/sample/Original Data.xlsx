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TION-PAGE" sheetId="1" r:id="rId4"/>
    <sheet state="visible" name="CO_ATTAINMENT" sheetId="2" r:id="rId5"/>
    <sheet state="visible" name="PO_ATTAINMENT" sheetId="3" r:id="rId6"/>
  </sheets>
  <externalReferences>
    <externalReference r:id="rId7"/>
  </externalReferences>
  <definedNames>
    <definedName name="D">[1]Sheet1!$A$1:$A$10</definedName>
  </definedNames>
  <calcPr/>
  <extLst>
    <ext uri="GoogleSheetsCustomDataVersion2">
      <go:sheetsCustomData xmlns:go="http://customooxmlschemas.google.com/" r:id="rId8" roundtripDataChecksum="lGVsHXV7qygbnTfxW0U2aCaOT0/VOxV5COFMuRwZOFg="/>
    </ext>
  </extLst>
</workbook>
</file>

<file path=xl/sharedStrings.xml><?xml version="1.0" encoding="utf-8"?>
<sst xmlns="http://schemas.openxmlformats.org/spreadsheetml/2006/main" count="426" uniqueCount="212">
  <si>
    <t>ATTAINMENT CRITERIA</t>
  </si>
  <si>
    <t xml:space="preserve">PASSING MARKS (%) </t>
  </si>
  <si>
    <t xml:space="preserve"> Threshold % for CO attainment</t>
  </si>
  <si>
    <t>Please fill "AB" for Absent and "UR" for Unregistered or withdeawn student(s)</t>
  </si>
  <si>
    <t>TEZPUR UNIVERSITY</t>
  </si>
  <si>
    <t>Faculty Name:</t>
  </si>
  <si>
    <t>Dr S. S. Satapathy</t>
  </si>
  <si>
    <t>BRANCH</t>
  </si>
  <si>
    <t>Mechanical Engineering</t>
  </si>
  <si>
    <t>Course</t>
  </si>
  <si>
    <t>Introductory Computing</t>
  </si>
  <si>
    <t>Programme:</t>
  </si>
  <si>
    <t>B. Tech</t>
  </si>
  <si>
    <t>YEAR</t>
  </si>
  <si>
    <t>I</t>
  </si>
  <si>
    <t>SEM</t>
  </si>
  <si>
    <t>II</t>
  </si>
  <si>
    <t>Course Code</t>
  </si>
  <si>
    <t>CO103</t>
  </si>
  <si>
    <t>SESSION</t>
  </si>
  <si>
    <t>2021-22</t>
  </si>
  <si>
    <t>Assessment of TEST -I</t>
  </si>
  <si>
    <t>Assessment of TEST -II</t>
  </si>
  <si>
    <t>Assessment of Mid Sem Exam</t>
  </si>
  <si>
    <t>Assessment of End Sem Exam</t>
  </si>
  <si>
    <t xml:space="preserve">S. No. </t>
  </si>
  <si>
    <t>Roll No.</t>
  </si>
  <si>
    <t>Name of Student</t>
  </si>
  <si>
    <t>ABSENTEE RECORD</t>
  </si>
  <si>
    <t>Maximum Marks</t>
  </si>
  <si>
    <t>TOTAL</t>
  </si>
  <si>
    <t>CO1</t>
  </si>
  <si>
    <t>CO2</t>
  </si>
  <si>
    <t>CO3</t>
  </si>
  <si>
    <t>CO4</t>
  </si>
  <si>
    <t>CO5</t>
  </si>
  <si>
    <r>
      <rPr>
        <rFont val="Calibri"/>
        <b/>
        <color rgb="FF000000"/>
        <sz val="11.0"/>
      </rPr>
      <t>Σ</t>
    </r>
    <r>
      <rPr>
        <rFont val="Calibri"/>
        <b/>
        <color rgb="FF000000"/>
        <sz val="11.0"/>
      </rPr>
      <t>CO</t>
    </r>
  </si>
  <si>
    <t>III</t>
  </si>
  <si>
    <t>%</t>
  </si>
  <si>
    <t>IV</t>
  </si>
  <si>
    <t>CO WISE MAXIMUM MARKS</t>
  </si>
  <si>
    <t>"AB" or "UR"</t>
  </si>
  <si>
    <t>MEB21001</t>
  </si>
  <si>
    <t>NEKIBUR  RAHMAN</t>
  </si>
  <si>
    <t>MEB21003</t>
  </si>
  <si>
    <t>NILOATPAL  MAZUMDER</t>
  </si>
  <si>
    <t>MEB21004</t>
  </si>
  <si>
    <t>SHAHIL ALI MOSSADDIQUE</t>
  </si>
  <si>
    <t>MEB21005</t>
  </si>
  <si>
    <t>CHANDRAK  BHATTACHARJEE</t>
  </si>
  <si>
    <t>MEB21006</t>
  </si>
  <si>
    <t>SIVAM  KARMAKAR</t>
  </si>
  <si>
    <t>MEB21007</t>
  </si>
  <si>
    <t>CHIRANJEEV  SHUBHAM</t>
  </si>
  <si>
    <t>MEB21009</t>
  </si>
  <si>
    <t>OWEN RUMON GARG</t>
  </si>
  <si>
    <t>MEB21012</t>
  </si>
  <si>
    <t>YUSUF  ALI</t>
  </si>
  <si>
    <t>MEB21013</t>
  </si>
  <si>
    <t>MUSKAN  BORGOHAIN</t>
  </si>
  <si>
    <t>MEB21014</t>
  </si>
  <si>
    <t>SARFARAZ SAMIM HAQUE</t>
  </si>
  <si>
    <t>MEB21016</t>
  </si>
  <si>
    <t>ABHRAKIRAN  DAS</t>
  </si>
  <si>
    <t>MEB21020</t>
  </si>
  <si>
    <t>ZAHEED  AKHTAR</t>
  </si>
  <si>
    <t>MEB21021</t>
  </si>
  <si>
    <t>DHYANABH  SAIKIA</t>
  </si>
  <si>
    <t>MEB21023</t>
  </si>
  <si>
    <t>PURBAHNI  KONWAR</t>
  </si>
  <si>
    <t>MEB21024</t>
  </si>
  <si>
    <t>ASHANKUR  BORGOHAIN</t>
  </si>
  <si>
    <t>MEB21025</t>
  </si>
  <si>
    <t>SUBHAM  DEY</t>
  </si>
  <si>
    <t>MEB21026</t>
  </si>
  <si>
    <t>ANURAG  HAZARIKA</t>
  </si>
  <si>
    <t>MEB21027</t>
  </si>
  <si>
    <t>KONGKON JYOTI NATH</t>
  </si>
  <si>
    <t>MEB21028</t>
  </si>
  <si>
    <t>NISHA  DEVI</t>
  </si>
  <si>
    <t>MEB21030</t>
  </si>
  <si>
    <t>SULAKSHANA  BHATTACHARYYA</t>
  </si>
  <si>
    <t>MEB21031</t>
  </si>
  <si>
    <t xml:space="preserve">PRAGYAN BORGOHAIN </t>
  </si>
  <si>
    <t>MEB21034</t>
  </si>
  <si>
    <t>BIRHEM  BASUMATARY</t>
  </si>
  <si>
    <t>MEB21036</t>
  </si>
  <si>
    <t>PRBAL  MEDHI</t>
  </si>
  <si>
    <t>MEB21037</t>
  </si>
  <si>
    <t>SAGAR  DAS</t>
  </si>
  <si>
    <t>MEB21038</t>
  </si>
  <si>
    <t>JYOTIRMOY  KASHYAP</t>
  </si>
  <si>
    <t>MEB21039</t>
  </si>
  <si>
    <t>RISHOBH  DAS</t>
  </si>
  <si>
    <t>MEB21040</t>
  </si>
  <si>
    <t>AKANSHA  DEEP</t>
  </si>
  <si>
    <t>MEB21042</t>
  </si>
  <si>
    <t>HIMANSHU  KONWAR</t>
  </si>
  <si>
    <t>MEB21044</t>
  </si>
  <si>
    <t>CHANDRANI  NIRMALIA</t>
  </si>
  <si>
    <t>MEB21046</t>
  </si>
  <si>
    <t>DEBAJIT  BARMAN</t>
  </si>
  <si>
    <t>MEB21047</t>
  </si>
  <si>
    <t xml:space="preserve"> HRISHIKESH  BARUAH</t>
  </si>
  <si>
    <t>MEB21048</t>
  </si>
  <si>
    <t>ANUBHOV  GOGOI</t>
  </si>
  <si>
    <t>MEB21049</t>
  </si>
  <si>
    <t>PREMJIT  LANGTHASA</t>
  </si>
  <si>
    <t>MEB21050</t>
  </si>
  <si>
    <t>TRIDIB KUMAR CHOWDHURY</t>
  </si>
  <si>
    <t>MEB21051</t>
  </si>
  <si>
    <t>SHUBH  SHARMA ECB21083</t>
  </si>
  <si>
    <t>MEB21052</t>
  </si>
  <si>
    <t>MD AMAN UDDIN</t>
  </si>
  <si>
    <t>MEB21053</t>
  </si>
  <si>
    <t>ADARSH  KUMAR</t>
  </si>
  <si>
    <t>MEB21054</t>
  </si>
  <si>
    <t>DEEPJYOTI  DHAR</t>
  </si>
  <si>
    <t>MEB21055</t>
  </si>
  <si>
    <t>NITISH  KUMAR</t>
  </si>
  <si>
    <t>MEB21056</t>
  </si>
  <si>
    <t>ROHIT KUMAR SINGH ECB21085</t>
  </si>
  <si>
    <t>MEB21057</t>
  </si>
  <si>
    <t>GOURAB  ROY</t>
  </si>
  <si>
    <t>MEB21058</t>
  </si>
  <si>
    <t>IMRANA  KHAN ECB21086</t>
  </si>
  <si>
    <t>MEB21059</t>
  </si>
  <si>
    <t>ABHISHEK  NATH</t>
  </si>
  <si>
    <t>MEB21060</t>
  </si>
  <si>
    <t>BISHAL  MALA</t>
  </si>
  <si>
    <t>MEB21061</t>
  </si>
  <si>
    <t>SHUBHAM KUMAR KUSHWAHA ECB21082</t>
  </si>
  <si>
    <t>MEB21062</t>
  </si>
  <si>
    <t>ARYAN KUMAR SINGH</t>
  </si>
  <si>
    <t>MEB21063</t>
  </si>
  <si>
    <t>PRASHANTI  ROY</t>
  </si>
  <si>
    <t>MEB21065</t>
  </si>
  <si>
    <t>RAJKAMAL  GHOSLIYA</t>
  </si>
  <si>
    <t>MEB21066</t>
  </si>
  <si>
    <t xml:space="preserve">HIMANJIT PATOWARY </t>
  </si>
  <si>
    <t>MEB21067</t>
  </si>
  <si>
    <t>BIKEE  WARY</t>
  </si>
  <si>
    <t>MEB21068</t>
  </si>
  <si>
    <t>MOHIT  KUMAR</t>
  </si>
  <si>
    <t>MEB21069</t>
  </si>
  <si>
    <t xml:space="preserve">SUROJIT  HAZARIKA </t>
  </si>
  <si>
    <t>MEB21070</t>
  </si>
  <si>
    <t xml:space="preserve">VELPULA THARUN </t>
  </si>
  <si>
    <t>MEB21071</t>
  </si>
  <si>
    <t xml:space="preserve">CHINMOY  BORA </t>
  </si>
  <si>
    <t>MEB20050</t>
  </si>
  <si>
    <t>LALIT PATIDAR</t>
  </si>
  <si>
    <t xml:space="preserve"> </t>
  </si>
  <si>
    <t>ATTAINMENT TABLE</t>
  </si>
  <si>
    <t>ABSENTEE+NOT ATTEMPT</t>
  </si>
  <si>
    <t>CO ATTAINMENT in 3.0 POINT Scale</t>
  </si>
  <si>
    <t>PRESENT STUDENT OR ATTEMPT</t>
  </si>
  <si>
    <t>NO. OF STUDENTS SECURE MARKS &gt; THRESHOLD % FOR CO ATTAINMENT</t>
  </si>
  <si>
    <t>PC. OF STUDENTS SECURE MARKS &gt; THRESHOLD % FOR CO ATTAINMENT</t>
  </si>
  <si>
    <r>
      <rPr>
        <rFont val="Calibri"/>
        <b/>
        <color theme="1"/>
        <sz val="10.0"/>
      </rPr>
      <t xml:space="preserve">CO Attainment (3 </t>
    </r>
    <r>
      <rPr>
        <rFont val="Times New Roman"/>
        <b/>
        <color theme="1"/>
        <sz val="10.0"/>
      </rPr>
      <t>≥</t>
    </r>
    <r>
      <rPr>
        <rFont val="Calibri"/>
        <b/>
        <color theme="1"/>
        <sz val="10.0"/>
      </rPr>
      <t xml:space="preserve"> 70%, 2 </t>
    </r>
    <r>
      <rPr>
        <rFont val="Times New Roman"/>
        <b/>
        <color theme="1"/>
        <sz val="10.0"/>
      </rPr>
      <t>≥60%, 1 ≥ 50%)</t>
    </r>
  </si>
  <si>
    <t>Final attainment level CO (by Direct Assessement):</t>
  </si>
  <si>
    <t>CO ATTAINMENT in ABSOLUTE Scale</t>
  </si>
  <si>
    <t>NO. OF STUDENTS SECURE MARKS &gt; PASSING MARKS</t>
  </si>
  <si>
    <t>PC. OF STUDENTS SECURE MARKS &gt; PASSING MARKS</t>
  </si>
  <si>
    <r>
      <rPr>
        <rFont val="Calibri"/>
        <b/>
        <color theme="1"/>
        <sz val="10.0"/>
      </rPr>
      <t>CO Attainment (AVERAGE OF PERCENTAGE ATTAINMENTS</t>
    </r>
    <r>
      <rPr>
        <rFont val="Times New Roman"/>
        <b/>
        <color theme="1"/>
        <sz val="10.0"/>
      </rPr>
      <t>)</t>
    </r>
  </si>
  <si>
    <t>Final attainment level CO (IN ABSOLUTE SCALE):</t>
  </si>
  <si>
    <t>Fill the CO-PO Mapping for the course:</t>
  </si>
  <si>
    <t>PO ATTAINMENT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</si>
  <si>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</si>
  <si>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</si>
  <si>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</si>
  <si>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</si>
  <si>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</si>
  <si>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</si>
  <si>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</si>
  <si>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</si>
  <si>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</si>
  <si>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</si>
  <si>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</si>
  <si>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</si>
  <si>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</si>
  <si>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</si>
  <si>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</si>
  <si>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-</t>
  </si>
  <si>
    <t>PO Attainment (3 point Scale)</t>
  </si>
  <si>
    <t>PO Attainment (Absolute Scale)</t>
  </si>
  <si>
    <t>Please fill "AB" for Absent and "UR" for Unregistered candidate(s)</t>
  </si>
  <si>
    <t>Course:</t>
  </si>
  <si>
    <t>Course Code:</t>
  </si>
  <si>
    <t>Assessment of Test -I</t>
  </si>
  <si>
    <t xml:space="preserve"> Assessment of Test -II</t>
  </si>
  <si>
    <t>Assessment for Mid Term Exam</t>
  </si>
  <si>
    <t>Assessment of End Term Exam</t>
  </si>
  <si>
    <r>
      <rPr>
        <rFont val="Calibri"/>
        <b/>
        <color rgb="FF000000"/>
        <sz val="11.0"/>
      </rPr>
      <t>Σ</t>
    </r>
    <r>
      <rPr>
        <rFont val="Calibri"/>
        <b/>
        <color rgb="FF000000"/>
        <sz val="11.0"/>
      </rPr>
      <t>CO</t>
    </r>
  </si>
  <si>
    <r>
      <rPr>
        <rFont val="Calibri"/>
        <b/>
        <color theme="1"/>
        <sz val="10.0"/>
      </rPr>
      <t xml:space="preserve">CO Attainment (3 </t>
    </r>
    <r>
      <rPr>
        <rFont val="Times New Roman"/>
        <b/>
        <color theme="1"/>
        <sz val="10.0"/>
      </rPr>
      <t>≥</t>
    </r>
    <r>
      <rPr>
        <rFont val="Calibri"/>
        <b/>
        <color theme="1"/>
        <sz val="10.0"/>
      </rPr>
      <t xml:space="preserve"> 70%, 2 </t>
    </r>
    <r>
      <rPr>
        <rFont val="Times New Roman"/>
        <b/>
        <color theme="1"/>
        <sz val="10.0"/>
      </rPr>
      <t>≥60%, 1 ≥ 50%)</t>
    </r>
  </si>
  <si>
    <r>
      <rPr>
        <rFont val="Calibri"/>
        <b/>
        <color theme="1"/>
        <sz val="10.0"/>
      </rPr>
      <t>CO Attainment (AVERAGE OF PERCENTAGE ATTAINMENTS</t>
    </r>
    <r>
      <rPr>
        <rFont val="Times New Roman"/>
        <b/>
        <color theme="1"/>
        <sz val="10.0"/>
      </rPr>
      <t>)</t>
    </r>
  </si>
  <si>
    <t>Branch:</t>
  </si>
  <si>
    <t>SESSION:</t>
  </si>
  <si>
    <t>Year:</t>
  </si>
  <si>
    <t>SEMESTER:</t>
  </si>
  <si>
    <t>COURSE CODE:</t>
  </si>
  <si>
    <t>PO ATTAINMENT USING CO (DIRECT METHOD)</t>
  </si>
  <si>
    <t>CO PO MAPPING</t>
  </si>
  <si>
    <t>WT. AVG</t>
  </si>
  <si>
    <t>COMPUTATION BY MAPPED CO-PO (3 POINT SCALE)</t>
  </si>
  <si>
    <t>CO ATTNT(Norm)</t>
  </si>
  <si>
    <t>AVG</t>
  </si>
  <si>
    <t>OVERALL PO ATTAINMENT IN 3 POINT SCALE</t>
  </si>
  <si>
    <t>COMPUTATION BY MAPPED CO-PO (PERCENTAGE)</t>
  </si>
  <si>
    <t>SUM</t>
  </si>
  <si>
    <t>WTG</t>
  </si>
  <si>
    <t>OVERALL PO ATTAINMENT IN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</si>
</sst>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&quot;DEPARTMENT&quot;"/>
    <numFmt numFmtId="165" formatCode="0.0"/>
  </numFmts>
  <fonts count="43">
    <font>
      <sz val="11.0"/>
      <color theme="1"/>
      <name val="Calibri"/>
      <scheme val="minor"/>
    </font>
    <font>
      <b/>
      <sz val="10.0"/>
      <color rgb="FF632423"/>
      <name val="Calibri"/>
    </font>
    <font/>
    <font>
      <b/>
      <sz val="10.0"/>
      <color theme="1"/>
      <name val="Arial Narrow"/>
    </font>
    <font>
      <sz val="10.0"/>
      <color theme="1"/>
      <name val="Myanmar text"/>
    </font>
    <font>
      <b/>
      <sz val="10.0"/>
      <color rgb="FF632423"/>
      <name val="Candara"/>
    </font>
    <font>
      <b/>
      <sz val="10.0"/>
      <color theme="1"/>
      <name val="Times New Roman"/>
    </font>
    <font>
      <b/>
      <sz val="12.0"/>
      <color rgb="FFFF0000"/>
      <name val="Myanmar text"/>
    </font>
    <font>
      <sz val="10.0"/>
      <color rgb="FFA5A5A5"/>
      <name val="Myanmar text"/>
    </font>
    <font>
      <b/>
      <sz val="14.0"/>
      <color theme="1"/>
      <name val="Calibri"/>
    </font>
    <font>
      <sz val="11.0"/>
      <color theme="1"/>
      <name val="Myanmar text"/>
    </font>
    <font>
      <b/>
      <sz val="11.0"/>
      <color theme="1"/>
      <name val="Calibri"/>
    </font>
    <font>
      <b/>
      <sz val="16.0"/>
      <color theme="1"/>
      <name val="Calibri"/>
    </font>
    <font>
      <sz val="11.0"/>
      <color rgb="FFD8D8D8"/>
      <name val="Myanmar text"/>
    </font>
    <font>
      <b/>
      <sz val="10.0"/>
      <color theme="1"/>
      <name val="Calibri"/>
    </font>
    <font>
      <b/>
      <sz val="9.0"/>
      <color theme="1"/>
      <name val="Calibri"/>
    </font>
    <font>
      <b/>
      <sz val="7.0"/>
      <color theme="1"/>
      <name val="Calibri"/>
    </font>
    <font>
      <b/>
      <sz val="8.0"/>
      <color theme="1"/>
      <name val="Calibri"/>
    </font>
    <font>
      <sz val="11.0"/>
      <color rgb="FF000000"/>
      <name val="Calibri"/>
    </font>
    <font>
      <sz val="9.0"/>
      <color rgb="FF000000"/>
      <name val="Calibri"/>
    </font>
    <font>
      <b/>
      <sz val="10.0"/>
      <color rgb="FF244061"/>
      <name val="Arial Narrow"/>
    </font>
    <font>
      <sz val="10.0"/>
      <color theme="1"/>
      <name val="Arial Narrow"/>
    </font>
    <font>
      <b/>
      <sz val="12.0"/>
      <color theme="1"/>
      <name val="Calibri"/>
    </font>
    <font>
      <b/>
      <sz val="12.0"/>
      <color theme="1"/>
      <name val="Arial Narrow"/>
    </font>
    <font>
      <b/>
      <sz val="18.0"/>
      <color theme="1"/>
      <name val="Calibri"/>
    </font>
    <font>
      <sz val="10.0"/>
      <color theme="1"/>
      <name val="Calibri"/>
    </font>
    <font>
      <sz val="12.0"/>
      <color theme="1"/>
      <name val="Myanmar text"/>
    </font>
    <font>
      <b/>
      <sz val="16.0"/>
      <color rgb="FFFF0000"/>
      <name val="Calibri"/>
    </font>
    <font>
      <sz val="11.0"/>
      <color theme="1"/>
      <name val="Calibri"/>
    </font>
    <font>
      <b/>
      <sz val="18.0"/>
      <color rgb="FF974806"/>
      <name val="Calibri"/>
    </font>
    <font>
      <b/>
      <sz val="12.0"/>
      <color theme="1"/>
      <name val="Myanmar text"/>
    </font>
    <font>
      <b/>
      <sz val="12.0"/>
      <color rgb="FFCF321D"/>
      <name val="Myanmar text"/>
    </font>
    <font>
      <b/>
      <sz val="14.0"/>
      <color rgb="FF974806"/>
      <name val="Myanmar text"/>
    </font>
    <font>
      <b/>
      <sz val="12.0"/>
      <color rgb="FF244061"/>
      <name val="Myanmar text"/>
    </font>
    <font>
      <b/>
      <sz val="12.0"/>
      <color rgb="FFFFC000"/>
      <name val="Myanmar text"/>
    </font>
    <font>
      <b/>
      <sz val="10.0"/>
      <color theme="1"/>
      <name val="Candara"/>
    </font>
    <font>
      <b/>
      <sz val="12.0"/>
      <color theme="5"/>
      <name val="Calibri"/>
    </font>
    <font>
      <b/>
      <i/>
      <sz val="11.0"/>
      <color rgb="FF00B050"/>
      <name val="Calibri"/>
    </font>
    <font>
      <b/>
      <sz val="14.0"/>
      <color rgb="FF0070C0"/>
      <name val="Calibri"/>
    </font>
    <font>
      <b/>
      <sz val="10.0"/>
      <color theme="1"/>
      <name val="Myanmar text"/>
    </font>
    <font>
      <b/>
      <sz val="14.0"/>
      <color rgb="FF632423"/>
      <name val="Calibri"/>
    </font>
    <font>
      <b/>
      <sz val="12.0"/>
      <color rgb="FFD8D8D8"/>
      <name val="Myanmar text"/>
    </font>
    <font>
      <sz val="11.0"/>
      <color rgb="FFD8D8D8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D0CECE"/>
        <bgColor rgb="FFD0CECE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B6DDE8"/>
        <bgColor rgb="FFB6DDE8"/>
      </patternFill>
    </fill>
    <fill>
      <patternFill patternType="solid">
        <fgColor rgb="FFFEB4B4"/>
        <bgColor rgb="FFFEB4B4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7F7F7F"/>
        <bgColor rgb="FF7F7F7F"/>
      </patternFill>
    </fill>
    <fill>
      <patternFill patternType="solid">
        <fgColor rgb="FFE5DFEC"/>
        <bgColor rgb="FFE5DFEC"/>
      </patternFill>
    </fill>
    <fill>
      <patternFill patternType="solid">
        <fgColor rgb="FF92CDDC"/>
        <bgColor rgb="FF92CDDC"/>
      </patternFill>
    </fill>
    <fill>
      <patternFill patternType="solid">
        <fgColor rgb="FFDDD9C3"/>
        <bgColor rgb="FFDDD9C3"/>
      </patternFill>
    </fill>
  </fills>
  <borders count="88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/>
    </border>
    <border>
      <top/>
    </border>
    <border>
      <right/>
      <top/>
    </border>
    <border>
      <left style="double">
        <color rgb="FF000000"/>
      </left>
    </border>
    <border>
      <right style="double">
        <color rgb="FF000000"/>
      </right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/>
    </border>
    <border>
      <bottom/>
    </border>
    <border>
      <right/>
      <bottom/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double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/>
    </border>
    <border>
      <left/>
      <right/>
      <top style="thin">
        <color rgb="FF000000"/>
      </top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/>
      <right/>
      <bottom style="double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double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theme="1"/>
      </left>
      <right style="thin">
        <color theme="1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right/>
      <top style="double">
        <color rgb="FF000000"/>
      </top>
    </border>
    <border>
      <left/>
      <right/>
      <top style="double">
        <color rgb="FF000000"/>
      </top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/>
    </border>
    <border>
      <left style="double">
        <color rgb="FF000000"/>
      </left>
      <right/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 style="double">
        <color rgb="FF000000"/>
      </top>
      <bottom style="double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top style="double">
        <color rgb="FF000000"/>
      </top>
      <bottom style="double">
        <color rgb="FF000000"/>
      </bottom>
    </border>
    <border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double">
        <color rgb="FF000000"/>
      </left>
      <right/>
      <top/>
      <bottom/>
    </border>
    <border>
      <left style="double">
        <color rgb="FF000000"/>
      </left>
      <right style="double">
        <color rgb="FF000000"/>
      </right>
      <top/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/>
      <top style="double">
        <color rgb="FF000000"/>
      </top>
      <bottom style="double">
        <color rgb="FF000000"/>
      </bottom>
    </border>
    <border>
      <right style="double">
        <color rgb="FF000000"/>
      </right>
      <top/>
      <bottom/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3" xfId="0" applyAlignment="1" applyBorder="1" applyFill="1" applyFont="1" applyNumberFormat="1">
      <alignment horizontal="center" shrinkToFit="0" vertical="center" wrapText="1"/>
    </xf>
    <xf borderId="4" fillId="3" fontId="3" numFmtId="3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6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3" fontId="3" numFmtId="3" xfId="0" applyAlignment="1" applyBorder="1" applyFont="1" applyNumberFormat="1">
      <alignment horizontal="center" shrinkToFit="0" vertical="center" wrapText="1"/>
    </xf>
    <xf borderId="0" fillId="0" fontId="8" numFmtId="3" xfId="0" applyAlignment="1" applyFont="1" applyNumberFormat="1">
      <alignment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2" fontId="1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6" fontId="9" numFmtId="0" xfId="0" applyAlignment="1" applyBorder="1" applyFill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0" fillId="0" fontId="10" numFmtId="0" xfId="0" applyAlignment="1" applyFont="1">
      <alignment shrinkToFit="0" vertical="center" wrapText="1"/>
    </xf>
    <xf borderId="26" fillId="7" fontId="11" numFmtId="0" xfId="0" applyAlignment="1" applyBorder="1" applyFill="1" applyFont="1">
      <alignment horizontal="center" shrinkToFit="0" vertical="center" wrapText="1"/>
    </xf>
    <xf borderId="27" fillId="0" fontId="2" numFmtId="0" xfId="0" applyBorder="1" applyFont="1"/>
    <xf borderId="28" fillId="4" fontId="12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28" fillId="7" fontId="11" numFmtId="0" xfId="0" applyAlignment="1" applyBorder="1" applyFont="1">
      <alignment horizontal="center" shrinkToFit="0" vertical="center" wrapText="1"/>
    </xf>
    <xf borderId="28" fillId="4" fontId="11" numFmtId="0" xfId="0" applyAlignment="1" applyBorder="1" applyFont="1">
      <alignment horizontal="center" shrinkToFit="0" vertical="center" wrapText="1"/>
    </xf>
    <xf borderId="28" fillId="4" fontId="11" numFmtId="164" xfId="0" applyAlignment="1" applyBorder="1" applyFont="1" applyNumberFormat="1">
      <alignment horizontal="center" shrinkToFit="0" vertical="center" wrapText="1"/>
    </xf>
    <xf borderId="30" fillId="0" fontId="2" numFmtId="0" xfId="0" applyBorder="1" applyFont="1"/>
    <xf borderId="31" fillId="7" fontId="11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4" fontId="11" numFmtId="0" xfId="0" applyAlignment="1" applyBorder="1" applyFont="1">
      <alignment horizontal="center" shrinkToFit="0" vertical="center" wrapText="1"/>
    </xf>
    <xf borderId="34" fillId="7" fontId="11" numFmtId="0" xfId="0" applyAlignment="1" applyBorder="1" applyFont="1">
      <alignment horizontal="center" shrinkToFit="0" vertical="center" wrapText="1"/>
    </xf>
    <xf borderId="34" fillId="4" fontId="11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0" fillId="0" fontId="13" numFmtId="0" xfId="0" applyAlignment="1" applyFont="1">
      <alignment shrinkToFit="0" vertical="center" wrapText="1"/>
    </xf>
    <xf borderId="37" fillId="8" fontId="11" numFmtId="0" xfId="0" applyAlignment="1" applyBorder="1" applyFill="1" applyFont="1">
      <alignment horizontal="center" shrinkToFit="0" vertical="center" wrapText="1"/>
    </xf>
    <xf borderId="38" fillId="8" fontId="11" numFmtId="0" xfId="0" applyAlignment="1" applyBorder="1" applyFont="1">
      <alignment horizontal="center" shrinkToFit="0" vertical="center" wrapText="1"/>
    </xf>
    <xf borderId="39" fillId="8" fontId="11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4" fontId="14" numFmtId="0" xfId="0" applyAlignment="1" applyBorder="1" applyFont="1">
      <alignment horizontal="center" shrinkToFit="0" textRotation="90" vertical="center" wrapText="1"/>
    </xf>
    <xf borderId="42" fillId="4" fontId="11" numFmtId="0" xfId="0" applyAlignment="1" applyBorder="1" applyFont="1">
      <alignment horizontal="center" shrinkToFit="0" textRotation="90" vertical="center" wrapText="1"/>
    </xf>
    <xf borderId="42" fillId="4" fontId="11" numFmtId="0" xfId="0" applyAlignment="1" applyBorder="1" applyFont="1">
      <alignment horizontal="center" shrinkToFit="0" vertical="center" wrapText="1"/>
    </xf>
    <xf borderId="43" fillId="4" fontId="15" numFmtId="0" xfId="0" applyAlignment="1" applyBorder="1" applyFont="1">
      <alignment horizontal="center" shrinkToFit="0" vertical="center" wrapText="1"/>
    </xf>
    <xf borderId="39" fillId="4" fontId="11" numFmtId="0" xfId="0" applyAlignment="1" applyBorder="1" applyFont="1">
      <alignment horizontal="center" shrinkToFit="0" vertical="center" wrapText="1"/>
    </xf>
    <xf borderId="37" fillId="9" fontId="11" numFmtId="0" xfId="0" applyAlignment="1" applyBorder="1" applyFill="1" applyFont="1">
      <alignment horizontal="center" shrinkToFit="0" vertical="center" wrapText="1"/>
    </xf>
    <xf borderId="44" fillId="4" fontId="11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8" fillId="4" fontId="11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center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8" fillId="9" fontId="14" numFmtId="0" xfId="0" applyAlignment="1" applyBorder="1" applyFont="1">
      <alignment horizontal="center" shrinkToFit="0" vertical="center" wrapText="1"/>
    </xf>
    <xf borderId="48" fillId="0" fontId="17" numFmtId="3" xfId="0" applyAlignment="1" applyBorder="1" applyFont="1" applyNumberFormat="1">
      <alignment horizontal="center" shrinkToFit="0" vertical="center" wrapText="1"/>
    </xf>
    <xf borderId="49" fillId="0" fontId="18" numFmtId="0" xfId="0" applyAlignment="1" applyBorder="1" applyFont="1">
      <alignment shrinkToFit="0" vertical="center" wrapText="1"/>
    </xf>
    <xf borderId="50" fillId="0" fontId="18" numFmtId="0" xfId="0" applyAlignment="1" applyBorder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49" fillId="10" fontId="18" numFmtId="0" xfId="0" applyAlignment="1" applyBorder="1" applyFill="1" applyFont="1">
      <alignment horizontal="center" shrinkToFit="0" vertical="center" wrapText="1"/>
    </xf>
    <xf borderId="51" fillId="10" fontId="18" numFmtId="0" xfId="0" applyAlignment="1" applyBorder="1" applyFont="1">
      <alignment horizontal="center" shrinkToFit="0" vertical="center" wrapText="1"/>
    </xf>
    <xf borderId="51" fillId="10" fontId="19" numFmtId="0" xfId="0" applyAlignment="1" applyBorder="1" applyFont="1">
      <alignment horizontal="center" shrinkToFit="0" vertical="center" wrapText="1"/>
    </xf>
    <xf borderId="51" fillId="11" fontId="19" numFmtId="0" xfId="0" applyAlignment="1" applyBorder="1" applyFill="1" applyFont="1">
      <alignment horizontal="center" shrinkToFit="0" vertical="center" wrapText="1"/>
    </xf>
    <xf borderId="51" fillId="11" fontId="18" numFmtId="0" xfId="0" applyAlignment="1" applyBorder="1" applyFont="1">
      <alignment horizontal="center" shrinkToFit="0" vertical="center" wrapText="1"/>
    </xf>
    <xf borderId="49" fillId="12" fontId="18" numFmtId="0" xfId="0" applyAlignment="1" applyBorder="1" applyFill="1" applyFont="1">
      <alignment horizontal="center" shrinkToFit="0" vertical="center" wrapText="1"/>
    </xf>
    <xf borderId="51" fillId="12" fontId="18" numFmtId="0" xfId="0" applyAlignment="1" applyBorder="1" applyFont="1">
      <alignment horizontal="center" shrinkToFit="0" vertical="center" wrapText="1"/>
    </xf>
    <xf borderId="51" fillId="13" fontId="18" numFmtId="0" xfId="0" applyAlignment="1" applyBorder="1" applyFill="1" applyFont="1">
      <alignment horizontal="center" shrinkToFit="0" vertical="center" wrapText="1"/>
    </xf>
    <xf borderId="1" fillId="4" fontId="20" numFmtId="4" xfId="0" applyAlignment="1" applyBorder="1" applyFont="1" applyNumberFormat="1">
      <alignment horizontal="center" shrinkToFit="1" vertical="center" wrapText="0"/>
    </xf>
    <xf borderId="52" fillId="0" fontId="2" numFmtId="0" xfId="0" applyBorder="1" applyFont="1"/>
    <xf borderId="53" fillId="0" fontId="17" numFmtId="3" xfId="0" applyAlignment="1" applyBorder="1" applyFont="1" applyNumberFormat="1">
      <alignment horizontal="center" shrinkToFit="0" vertical="center" wrapText="1"/>
    </xf>
    <xf borderId="54" fillId="0" fontId="18" numFmtId="0" xfId="0" applyAlignment="1" applyBorder="1" applyFont="1">
      <alignment shrinkToFit="0" vertical="center" wrapText="1"/>
    </xf>
    <xf borderId="55" fillId="0" fontId="18" numFmtId="0" xfId="0" applyAlignment="1" applyBorder="1" applyFont="1">
      <alignment shrinkToFit="0" vertical="center" wrapText="1"/>
    </xf>
    <xf borderId="0" fillId="0" fontId="17" numFmtId="0" xfId="0" applyAlignment="1" applyFont="1">
      <alignment horizontal="left" shrinkToFit="0" vertical="center" wrapText="1"/>
    </xf>
    <xf borderId="56" fillId="10" fontId="18" numFmtId="0" xfId="0" applyAlignment="1" applyBorder="1" applyFont="1">
      <alignment horizontal="center" shrinkToFit="0" vertical="center" wrapText="1"/>
    </xf>
    <xf borderId="57" fillId="10" fontId="18" numFmtId="0" xfId="0" applyAlignment="1" applyBorder="1" applyFont="1">
      <alignment horizontal="center" shrinkToFit="0" vertical="center" wrapText="1"/>
    </xf>
    <xf borderId="57" fillId="10" fontId="19" numFmtId="0" xfId="0" applyAlignment="1" applyBorder="1" applyFont="1">
      <alignment horizontal="center" shrinkToFit="0" vertical="center" wrapText="1"/>
    </xf>
    <xf borderId="57" fillId="11" fontId="19" numFmtId="0" xfId="0" applyAlignment="1" applyBorder="1" applyFont="1">
      <alignment horizontal="center" shrinkToFit="0" vertical="center" wrapText="1"/>
    </xf>
    <xf borderId="57" fillId="11" fontId="18" numFmtId="0" xfId="0" applyAlignment="1" applyBorder="1" applyFont="1">
      <alignment horizontal="center" shrinkToFit="0" vertical="center" wrapText="1"/>
    </xf>
    <xf borderId="56" fillId="12" fontId="18" numFmtId="0" xfId="0" applyAlignment="1" applyBorder="1" applyFont="1">
      <alignment horizontal="center" shrinkToFit="0" vertical="center" wrapText="1"/>
    </xf>
    <xf borderId="57" fillId="12" fontId="18" numFmtId="0" xfId="0" applyAlignment="1" applyBorder="1" applyFont="1">
      <alignment horizontal="center" shrinkToFit="0" vertical="center" wrapText="1"/>
    </xf>
    <xf borderId="57" fillId="13" fontId="18" numFmtId="0" xfId="0" applyAlignment="1" applyBorder="1" applyFont="1">
      <alignment horizontal="center" shrinkToFit="0" vertical="center" wrapText="1"/>
    </xf>
    <xf borderId="55" fillId="0" fontId="18" numFmtId="11" xfId="0" applyAlignment="1" applyBorder="1" applyFont="1" applyNumberFormat="1">
      <alignment shrinkToFit="0" vertical="center" wrapText="1"/>
    </xf>
    <xf borderId="58" fillId="0" fontId="17" numFmtId="0" xfId="0" applyAlignment="1" applyBorder="1" applyFont="1">
      <alignment horizontal="center" shrinkToFit="0" vertical="center" wrapText="1"/>
    </xf>
    <xf borderId="58" fillId="0" fontId="17" numFmtId="0" xfId="0" applyAlignment="1" applyBorder="1" applyFont="1">
      <alignment horizontal="left" shrinkToFit="0" vertical="center" wrapText="1"/>
    </xf>
    <xf borderId="48" fillId="0" fontId="21" numFmtId="4" xfId="0" applyAlignment="1" applyBorder="1" applyFont="1" applyNumberFormat="1">
      <alignment horizontal="center" shrinkToFit="1" vertical="center" wrapText="0"/>
    </xf>
    <xf borderId="59" fillId="0" fontId="17" numFmtId="3" xfId="0" applyAlignment="1" applyBorder="1" applyFont="1" applyNumberFormat="1">
      <alignment horizontal="center" shrinkToFit="0" vertical="center" wrapText="1"/>
    </xf>
    <xf borderId="60" fillId="0" fontId="17" numFmtId="0" xfId="0" applyAlignment="1" applyBorder="1" applyFont="1">
      <alignment horizontal="center" shrinkToFit="0" vertical="center" wrapText="1"/>
    </xf>
    <xf borderId="60" fillId="0" fontId="17" numFmtId="0" xfId="0" applyAlignment="1" applyBorder="1" applyFont="1">
      <alignment horizontal="left" shrinkToFit="0" vertical="center" wrapText="1"/>
    </xf>
    <xf borderId="61" fillId="0" fontId="17" numFmtId="0" xfId="0" applyAlignment="1" applyBorder="1" applyFont="1">
      <alignment horizontal="left" shrinkToFit="0" vertical="center" wrapText="1"/>
    </xf>
    <xf borderId="62" fillId="0" fontId="21" numFmtId="4" xfId="0" applyAlignment="1" applyBorder="1" applyFont="1" applyNumberFormat="1">
      <alignment horizontal="center" shrinkToFit="1" vertical="center" wrapText="0"/>
    </xf>
    <xf borderId="61" fillId="0" fontId="2" numFmtId="0" xfId="0" applyBorder="1" applyFont="1"/>
    <xf borderId="63" fillId="14" fontId="22" numFmtId="0" xfId="0" applyAlignment="1" applyBorder="1" applyFill="1" applyFont="1">
      <alignment horizontal="center" shrinkToFit="0" textRotation="90" wrapText="1"/>
    </xf>
    <xf borderId="64" fillId="14" fontId="22" numFmtId="0" xfId="0" applyAlignment="1" applyBorder="1" applyFont="1">
      <alignment horizontal="left" shrinkToFit="0" vertical="center" wrapText="1"/>
    </xf>
    <xf borderId="65" fillId="14" fontId="22" numFmtId="0" xfId="0" applyAlignment="1" applyBorder="1" applyFont="1">
      <alignment horizontal="left" shrinkToFit="0" vertical="center" wrapText="1"/>
    </xf>
    <xf borderId="66" fillId="8" fontId="11" numFmtId="0" xfId="0" applyAlignment="1" applyBorder="1" applyFont="1">
      <alignment horizontal="right" shrinkToFit="0" textRotation="90" vertical="center" wrapText="1"/>
    </xf>
    <xf borderId="5" fillId="14" fontId="14" numFmtId="0" xfId="0" applyAlignment="1" applyBorder="1" applyFont="1">
      <alignment horizontal="right" shrinkToFit="0" vertical="center" wrapText="1"/>
    </xf>
    <xf borderId="8" fillId="14" fontId="23" numFmtId="3" xfId="0" applyAlignment="1" applyBorder="1" applyFont="1" applyNumberFormat="1">
      <alignment horizontal="right" shrinkToFit="0" vertical="center" wrapText="1"/>
    </xf>
    <xf borderId="1" fillId="0" fontId="10" numFmtId="2" xfId="0" applyAlignment="1" applyBorder="1" applyFont="1" applyNumberFormat="1">
      <alignment horizontal="center" shrinkToFit="0" vertical="center" wrapText="1"/>
    </xf>
    <xf borderId="67" fillId="0" fontId="2" numFmtId="0" xfId="0" applyBorder="1" applyFont="1"/>
    <xf borderId="1" fillId="15" fontId="24" numFmtId="0" xfId="0" applyAlignment="1" applyBorder="1" applyFill="1" applyFont="1">
      <alignment horizontal="center" shrinkToFit="0" vertical="center" wrapText="1"/>
    </xf>
    <xf borderId="8" fillId="16" fontId="23" numFmtId="3" xfId="0" applyAlignment="1" applyBorder="1" applyFill="1" applyFont="1" applyNumberFormat="1">
      <alignment horizontal="right" shrinkToFit="0" vertical="center" wrapText="1"/>
    </xf>
    <xf borderId="8" fillId="16" fontId="23" numFmtId="2" xfId="0" applyAlignment="1" applyBorder="1" applyFont="1" applyNumberFormat="1">
      <alignment horizontal="right" shrinkToFit="0" vertical="center" wrapText="1"/>
    </xf>
    <xf borderId="8" fillId="14" fontId="23" numFmtId="4" xfId="0" applyAlignment="1" applyBorder="1" applyFont="1" applyNumberFormat="1">
      <alignment horizontal="right" shrinkToFit="0" vertical="center" wrapText="1"/>
    </xf>
    <xf borderId="68" fillId="0" fontId="2" numFmtId="0" xfId="0" applyBorder="1" applyFont="1"/>
    <xf borderId="8" fillId="17" fontId="25" numFmtId="0" xfId="0" applyAlignment="1" applyBorder="1" applyFill="1" applyFont="1">
      <alignment horizontal="center" shrinkToFit="0" vertical="center" wrapText="1"/>
    </xf>
    <xf borderId="5" fillId="17" fontId="25" numFmtId="0" xfId="0" applyAlignment="1" applyBorder="1" applyFont="1">
      <alignment horizontal="left" shrinkToFit="0" vertical="center" wrapText="1"/>
    </xf>
    <xf borderId="8" fillId="17" fontId="3" numFmtId="2" xfId="0" applyAlignment="1" applyBorder="1" applyFont="1" applyNumberFormat="1">
      <alignment horizontal="center" shrinkToFit="0" vertical="center" wrapText="1"/>
    </xf>
    <xf borderId="5" fillId="17" fontId="14" numFmtId="0" xfId="0" applyAlignment="1" applyBorder="1" applyFont="1">
      <alignment horizontal="right" shrinkToFit="0" vertical="center" wrapText="1"/>
    </xf>
    <xf borderId="8" fillId="17" fontId="26" numFmtId="2" xfId="0" applyAlignment="1" applyBorder="1" applyFont="1" applyNumberFormat="1">
      <alignment horizontal="center" shrinkToFit="0" vertical="center" wrapText="1"/>
    </xf>
    <xf borderId="69" fillId="17" fontId="26" numFmtId="2" xfId="0" applyAlignment="1" applyBorder="1" applyFont="1" applyNumberFormat="1">
      <alignment horizontal="center" shrinkToFit="0" vertical="center" wrapText="1"/>
    </xf>
    <xf borderId="70" fillId="14" fontId="23" numFmtId="3" xfId="0" applyAlignment="1" applyBorder="1" applyFont="1" applyNumberFormat="1">
      <alignment horizontal="right" shrinkToFit="0" vertical="center" wrapText="1"/>
    </xf>
    <xf borderId="37" fillId="14" fontId="23" numFmtId="3" xfId="0" applyAlignment="1" applyBorder="1" applyFont="1" applyNumberFormat="1">
      <alignment horizontal="right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70" fillId="14" fontId="23" numFmtId="4" xfId="0" applyAlignment="1" applyBorder="1" applyFont="1" applyNumberFormat="1">
      <alignment horizontal="right" shrinkToFit="0" vertical="center" wrapText="1"/>
    </xf>
    <xf borderId="37" fillId="14" fontId="23" numFmtId="4" xfId="0" applyAlignment="1" applyBorder="1" applyFont="1" applyNumberFormat="1">
      <alignment horizontal="right" shrinkToFit="0" vertical="center" wrapText="1"/>
    </xf>
    <xf borderId="71" fillId="14" fontId="22" numFmtId="0" xfId="0" applyAlignment="1" applyBorder="1" applyFont="1">
      <alignment horizontal="center" shrinkToFit="0" textRotation="90" wrapText="1"/>
    </xf>
    <xf borderId="71" fillId="15" fontId="24" numFmtId="0" xfId="0" applyAlignment="1" applyBorder="1" applyFont="1">
      <alignment horizontal="center" shrinkToFit="0" vertical="center" wrapText="1"/>
    </xf>
    <xf borderId="72" fillId="15" fontId="24" numFmtId="0" xfId="0" applyAlignment="1" applyBorder="1" applyFont="1">
      <alignment horizontal="center" shrinkToFit="0" vertical="center" wrapText="1"/>
    </xf>
    <xf borderId="73" fillId="15" fontId="24" numFmtId="0" xfId="0" applyAlignment="1" applyBorder="1" applyFont="1">
      <alignment horizontal="center" shrinkToFit="0" vertical="center" wrapText="1"/>
    </xf>
    <xf borderId="70" fillId="8" fontId="11" numFmtId="0" xfId="0" applyAlignment="1" applyBorder="1" applyFont="1">
      <alignment horizontal="right" shrinkToFit="0" textRotation="90" vertical="center" wrapText="1"/>
    </xf>
    <xf borderId="64" fillId="14" fontId="14" numFmtId="0" xfId="0" applyAlignment="1" applyBorder="1" applyFont="1">
      <alignment horizontal="right" shrinkToFit="0" vertical="center" wrapText="1"/>
    </xf>
    <xf borderId="74" fillId="14" fontId="14" numFmtId="0" xfId="0" applyAlignment="1" applyBorder="1" applyFont="1">
      <alignment horizontal="right" shrinkToFit="0" vertical="center" wrapText="1"/>
    </xf>
    <xf borderId="8" fillId="17" fontId="14" numFmtId="2" xfId="0" applyAlignment="1" applyBorder="1" applyFont="1" applyNumberFormat="1">
      <alignment horizontal="center" shrinkToFit="0" vertical="center" wrapText="1"/>
    </xf>
    <xf borderId="70" fillId="17" fontId="14" numFmtId="2" xfId="0" applyAlignment="1" applyBorder="1" applyFont="1" applyNumberFormat="1">
      <alignment horizontal="center" shrinkToFit="0" vertical="center" wrapText="1"/>
    </xf>
    <xf borderId="23" fillId="14" fontId="27" numFmtId="0" xfId="0" applyAlignment="1" applyBorder="1" applyFont="1">
      <alignment horizontal="left" shrinkToFit="0" wrapText="1"/>
    </xf>
    <xf borderId="75" fillId="0" fontId="2" numFmtId="0" xfId="0" applyBorder="1" applyFont="1"/>
    <xf borderId="76" fillId="14" fontId="14" numFmtId="0" xfId="0" applyAlignment="1" applyBorder="1" applyFont="1">
      <alignment horizontal="right" shrinkToFit="0" vertical="center" wrapText="1"/>
    </xf>
    <xf borderId="77" fillId="14" fontId="3" numFmtId="3" xfId="0" applyAlignment="1" applyBorder="1" applyFont="1" applyNumberFormat="1">
      <alignment horizontal="right" shrinkToFit="0" vertical="center" wrapText="1"/>
    </xf>
    <xf borderId="78" fillId="17" fontId="4" numFmtId="2" xfId="0" applyAlignment="1" applyBorder="1" applyFont="1" applyNumberFormat="1">
      <alignment horizontal="center" shrinkToFit="0" vertical="center" wrapText="1"/>
    </xf>
    <xf borderId="79" fillId="0" fontId="2" numFmtId="0" xfId="0" applyBorder="1" applyFont="1"/>
    <xf borderId="80" fillId="0" fontId="2" numFmtId="0" xfId="0" applyBorder="1" applyFont="1"/>
    <xf borderId="12" fillId="0" fontId="28" numFmtId="0" xfId="0" applyAlignment="1" applyBorder="1" applyFont="1">
      <alignment horizontal="center" shrinkToFit="0" wrapText="1"/>
    </xf>
    <xf borderId="0" fillId="0" fontId="29" numFmtId="0" xfId="0" applyAlignment="1" applyFont="1">
      <alignment horizontal="center" shrinkToFit="0" vertical="center" wrapText="1"/>
    </xf>
    <xf borderId="8" fillId="5" fontId="30" numFmtId="0" xfId="0" applyAlignment="1" applyBorder="1" applyFont="1">
      <alignment horizontal="center" vertical="center"/>
    </xf>
    <xf borderId="70" fillId="5" fontId="30" numFmtId="0" xfId="0" applyAlignment="1" applyBorder="1" applyFont="1">
      <alignment horizontal="center" vertical="center"/>
    </xf>
    <xf borderId="37" fillId="5" fontId="30" numFmtId="0" xfId="0" applyAlignment="1" applyBorder="1" applyFont="1">
      <alignment horizontal="center" vertical="center"/>
    </xf>
    <xf borderId="4" fillId="4" fontId="14" numFmtId="0" xfId="0" applyAlignment="1" applyBorder="1" applyFont="1">
      <alignment horizontal="right" shrinkToFit="0" vertical="center" wrapText="1"/>
    </xf>
    <xf borderId="4" fillId="4" fontId="3" numFmtId="3" xfId="0" applyAlignment="1" applyBorder="1" applyFont="1" applyNumberFormat="1">
      <alignment horizontal="right" shrinkToFit="0" vertical="center" wrapText="1"/>
    </xf>
    <xf borderId="4" fillId="4" fontId="4" numFmtId="2" xfId="0" applyAlignment="1" applyBorder="1" applyFont="1" applyNumberFormat="1">
      <alignment horizontal="center" shrinkToFit="0" vertical="center" wrapText="1"/>
    </xf>
    <xf borderId="8" fillId="0" fontId="30" numFmtId="0" xfId="0" applyAlignment="1" applyBorder="1" applyFont="1">
      <alignment horizontal="center" vertical="center"/>
    </xf>
    <xf borderId="5" fillId="0" fontId="30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center" shrinkToFit="0" wrapText="1"/>
    </xf>
    <xf borderId="0" fillId="0" fontId="28" numFmtId="0" xfId="0" applyAlignment="1" applyFont="1">
      <alignment horizontal="center" shrinkToFit="0" wrapText="1"/>
    </xf>
    <xf borderId="81" fillId="18" fontId="31" numFmtId="0" xfId="0" applyAlignment="1" applyBorder="1" applyFill="1" applyFont="1">
      <alignment shrinkToFit="0" vertical="center" wrapText="1"/>
    </xf>
    <xf borderId="82" fillId="0" fontId="2" numFmtId="0" xfId="0" applyBorder="1" applyFont="1"/>
    <xf borderId="37" fillId="19" fontId="32" numFmtId="2" xfId="0" applyAlignment="1" applyBorder="1" applyFill="1" applyFont="1" applyNumberFormat="1">
      <alignment horizontal="center" shrinkToFit="0" vertical="center" wrapText="1"/>
    </xf>
    <xf borderId="81" fillId="20" fontId="33" numFmtId="0" xfId="0" applyAlignment="1" applyBorder="1" applyFill="1" applyFont="1">
      <alignment shrinkToFit="0" vertical="center" wrapText="1"/>
    </xf>
    <xf borderId="37" fillId="19" fontId="34" numFmtId="165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8" fillId="0" fontId="17" numFmtId="3" xfId="0" applyAlignment="1" applyBorder="1" applyFont="1" applyNumberFormat="1">
      <alignment horizontal="center" shrinkToFit="0" vertical="center" wrapText="1"/>
    </xf>
    <xf borderId="5" fillId="4" fontId="35" numFmtId="0" xfId="0" applyAlignment="1" applyBorder="1" applyFont="1">
      <alignment horizontal="center" shrinkToFit="0" vertical="center" wrapText="1"/>
    </xf>
    <xf borderId="83" fillId="4" fontId="6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84" fillId="8" fontId="3" numFmtId="4" xfId="0" applyAlignment="1" applyBorder="1" applyFont="1" applyNumberFormat="1">
      <alignment horizontal="center" shrinkToFit="1" vertical="center" wrapText="0"/>
    </xf>
    <xf borderId="85" fillId="0" fontId="3" numFmtId="4" xfId="0" applyAlignment="1" applyBorder="1" applyFont="1" applyNumberFormat="1">
      <alignment horizontal="center" shrinkToFit="1" vertical="center" wrapText="0"/>
    </xf>
    <xf borderId="58" fillId="0" fontId="17" numFmtId="11" xfId="0" applyAlignment="1" applyBorder="1" applyFont="1" applyNumberFormat="1">
      <alignment horizontal="center" shrinkToFit="0" vertical="center" wrapText="1"/>
    </xf>
    <xf borderId="8" fillId="14" fontId="3" numFmtId="3" xfId="0" applyAlignment="1" applyBorder="1" applyFont="1" applyNumberFormat="1">
      <alignment horizontal="right" shrinkToFit="0" vertical="center" wrapText="1"/>
    </xf>
    <xf borderId="8" fillId="14" fontId="3" numFmtId="3" xfId="0" applyAlignment="1" applyBorder="1" applyFont="1" applyNumberFormat="1">
      <alignment horizontal="center" shrinkToFit="0" vertical="center" wrapText="1"/>
    </xf>
    <xf borderId="8" fillId="16" fontId="3" numFmtId="3" xfId="0" applyAlignment="1" applyBorder="1" applyFont="1" applyNumberFormat="1">
      <alignment horizontal="right" shrinkToFit="0" vertical="center" wrapText="1"/>
    </xf>
    <xf borderId="8" fillId="16" fontId="3" numFmtId="2" xfId="0" applyAlignment="1" applyBorder="1" applyFont="1" applyNumberFormat="1">
      <alignment horizontal="right" shrinkToFit="0" vertical="center" wrapText="1"/>
    </xf>
    <xf borderId="8" fillId="14" fontId="3" numFmtId="2" xfId="0" applyAlignment="1" applyBorder="1" applyFont="1" applyNumberFormat="1">
      <alignment horizontal="center" shrinkToFit="0" vertical="center" wrapText="1"/>
    </xf>
    <xf borderId="8" fillId="17" fontId="4" numFmtId="2" xfId="0" applyAlignment="1" applyBorder="1" applyFont="1" applyNumberFormat="1">
      <alignment horizontal="center" shrinkToFit="0" vertical="center" wrapText="1"/>
    </xf>
    <xf borderId="8" fillId="21" fontId="3" numFmtId="3" xfId="0" applyAlignment="1" applyBorder="1" applyFill="1" applyFont="1" applyNumberFormat="1">
      <alignment horizontal="center" shrinkToFit="0" vertical="center" wrapText="1"/>
    </xf>
    <xf borderId="8" fillId="14" fontId="3" numFmtId="2" xfId="0" applyAlignment="1" applyBorder="1" applyFont="1" applyNumberFormat="1">
      <alignment horizontal="right" shrinkToFit="0" vertical="center" wrapText="1"/>
    </xf>
    <xf borderId="81" fillId="9" fontId="12" numFmtId="0" xfId="0" applyAlignment="1" applyBorder="1" applyFont="1">
      <alignment horizontal="center"/>
    </xf>
    <xf borderId="0" fillId="0" fontId="28" numFmtId="0" xfId="0" applyAlignment="1" applyFont="1">
      <alignment vertical="center"/>
    </xf>
    <xf borderId="23" fillId="22" fontId="14" numFmtId="0" xfId="0" applyAlignment="1" applyBorder="1" applyFill="1" applyFont="1">
      <alignment horizontal="center" vertical="center"/>
    </xf>
    <xf borderId="81" fillId="22" fontId="36" numFmtId="0" xfId="0" applyAlignment="1" applyBorder="1" applyFont="1">
      <alignment horizontal="center"/>
    </xf>
    <xf borderId="5" fillId="7" fontId="14" numFmtId="0" xfId="0" applyAlignment="1" applyBorder="1" applyFont="1">
      <alignment horizontal="center" vertical="center"/>
    </xf>
    <xf borderId="86" fillId="0" fontId="2" numFmtId="0" xfId="0" applyBorder="1" applyFont="1"/>
    <xf borderId="39" fillId="0" fontId="37" numFmtId="0" xfId="0" applyAlignment="1" applyBorder="1" applyFont="1">
      <alignment horizontal="center"/>
    </xf>
    <xf borderId="39" fillId="7" fontId="14" numFmtId="0" xfId="0" applyAlignment="1" applyBorder="1" applyFont="1">
      <alignment horizontal="center" vertical="center"/>
    </xf>
    <xf borderId="39" fillId="0" fontId="37" numFmtId="164" xfId="0" applyAlignment="1" applyBorder="1" applyFont="1" applyNumberFormat="1">
      <alignment horizontal="center"/>
    </xf>
    <xf borderId="39" fillId="7" fontId="14" numFmtId="164" xfId="0" applyAlignment="1" applyBorder="1" applyFont="1" applyNumberFormat="1">
      <alignment horizontal="center" vertical="center"/>
    </xf>
    <xf borderId="5" fillId="6" fontId="38" numFmtId="0" xfId="0" applyAlignment="1" applyBorder="1" applyFont="1">
      <alignment horizontal="center" vertical="center"/>
    </xf>
    <xf borderId="5" fillId="23" fontId="9" numFmtId="0" xfId="0" applyAlignment="1" applyBorder="1" applyFill="1" applyFont="1">
      <alignment horizontal="center" vertical="center"/>
    </xf>
    <xf borderId="8" fillId="17" fontId="39" numFmtId="0" xfId="0" applyAlignment="1" applyBorder="1" applyFont="1">
      <alignment horizontal="center" vertical="center"/>
    </xf>
    <xf borderId="8" fillId="17" fontId="30" numFmtId="2" xfId="0" applyAlignment="1" applyBorder="1" applyFont="1" applyNumberFormat="1">
      <alignment horizontal="center" vertical="center"/>
    </xf>
    <xf borderId="0" fillId="0" fontId="28" numFmtId="2" xfId="0" applyAlignment="1" applyFont="1" applyNumberFormat="1">
      <alignment vertical="center"/>
    </xf>
    <xf borderId="0" fillId="0" fontId="28" numFmtId="0" xfId="0" applyFont="1"/>
    <xf borderId="20" fillId="2" fontId="40" numFmtId="0" xfId="0" applyAlignment="1" applyBorder="1" applyFont="1">
      <alignment horizontal="center"/>
    </xf>
    <xf borderId="0" fillId="0" fontId="41" numFmtId="0" xfId="0" applyAlignment="1" applyFont="1">
      <alignment horizontal="center" vertical="center"/>
    </xf>
    <xf borderId="8" fillId="0" fontId="30" numFmtId="2" xfId="0" applyAlignment="1" applyBorder="1" applyFont="1" applyNumberFormat="1">
      <alignment horizontal="center" vertical="center"/>
    </xf>
    <xf borderId="0" fillId="0" fontId="42" numFmtId="2" xfId="0" applyAlignment="1" applyFont="1" applyNumberFormat="1">
      <alignment vertical="center"/>
    </xf>
    <xf borderId="8" fillId="6" fontId="30" numFmtId="0" xfId="0" applyAlignment="1" applyBorder="1" applyFont="1">
      <alignment horizontal="center" vertical="center"/>
    </xf>
    <xf borderId="0" fillId="0" fontId="42" numFmtId="0" xfId="0" applyAlignment="1" applyFont="1">
      <alignment vertical="center"/>
    </xf>
    <xf borderId="81" fillId="24" fontId="22" numFmtId="0" xfId="0" applyAlignment="1" applyBorder="1" applyFill="1" applyFont="1">
      <alignment horizontal="center"/>
    </xf>
    <xf borderId="87" fillId="0" fontId="2" numFmtId="0" xfId="0" applyBorder="1" applyFont="1"/>
    <xf borderId="4" fillId="6" fontId="30" numFmtId="0" xfId="0" applyAlignment="1" applyBorder="1" applyFont="1">
      <alignment horizontal="center" vertical="center"/>
    </xf>
    <xf borderId="4" fillId="17" fontId="30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COLLEGE\nba\ATTAINMENT%20FINAL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3EE1A(Direct) (4)"/>
      <sheetName val="G 16-17"/>
      <sheetName val="F 16-17"/>
      <sheetName val="F 15-16"/>
      <sheetName val="G 15-16"/>
      <sheetName val="E 14-15"/>
      <sheetName val="G 14-15"/>
      <sheetName val="VII IT PT2015-16"/>
      <sheetName val="VII CS PRO 2015-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4.43" defaultRowHeight="15.0"/>
  <cols>
    <col customWidth="1" min="1" max="1" width="3.86"/>
    <col customWidth="1" min="2" max="2" width="9.57"/>
    <col customWidth="1" min="3" max="3" width="26.29"/>
    <col customWidth="1" min="4" max="4" width="9.14"/>
    <col customWidth="1" min="5" max="5" width="6.43"/>
    <col customWidth="1" min="6" max="7" width="6.14"/>
    <col customWidth="1" min="8" max="11" width="5.71"/>
    <col customWidth="1" min="12" max="12" width="6.14"/>
    <col customWidth="1" min="13" max="13" width="5.71"/>
    <col customWidth="1" min="14" max="14" width="7.43"/>
    <col customWidth="1" min="15" max="15" width="6.14"/>
    <col customWidth="1" min="16" max="16" width="6.71"/>
    <col customWidth="1" min="17" max="17" width="6.14"/>
    <col customWidth="1" min="18" max="18" width="6.57"/>
    <col customWidth="1" min="19" max="19" width="6.71"/>
    <col customWidth="1" min="20" max="20" width="6.14"/>
    <col customWidth="1" min="21" max="21" width="5.71"/>
    <col customWidth="1" min="22" max="22" width="6.14"/>
    <col customWidth="1" min="23" max="23" width="6.29"/>
    <col customWidth="1" min="24" max="24" width="5.86"/>
    <col customWidth="1" min="25" max="25" width="7.86"/>
    <col customWidth="1" min="26" max="31" width="5.71"/>
    <col customWidth="1" min="32" max="32" width="7.43"/>
  </cols>
  <sheetData>
    <row r="1" ht="15.0" customHeight="1">
      <c r="A1" s="1" t="s">
        <v>0</v>
      </c>
      <c r="B1" s="2"/>
      <c r="C1" s="3">
        <v>70.0</v>
      </c>
      <c r="D1" s="4"/>
      <c r="E1" s="5">
        <v>3.0</v>
      </c>
      <c r="F1" s="6"/>
      <c r="G1" s="7" t="s">
        <v>1</v>
      </c>
      <c r="H1" s="8"/>
      <c r="I1" s="8"/>
      <c r="J1" s="8"/>
      <c r="K1" s="8"/>
      <c r="L1" s="8"/>
      <c r="M1" s="9"/>
      <c r="N1" s="10">
        <v>30.0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  <c r="AF1" s="5"/>
    </row>
    <row r="2" ht="19.5" customHeight="1">
      <c r="A2" s="14"/>
      <c r="B2" s="15"/>
      <c r="C2" s="16">
        <v>60.0</v>
      </c>
      <c r="D2" s="4"/>
      <c r="E2" s="5">
        <v>2.0</v>
      </c>
      <c r="F2" s="17">
        <f t="shared" ref="F2:F3" si="1">C1-C2</f>
        <v>10</v>
      </c>
      <c r="G2" s="7" t="s">
        <v>2</v>
      </c>
      <c r="H2" s="8"/>
      <c r="I2" s="8"/>
      <c r="J2" s="8"/>
      <c r="K2" s="8"/>
      <c r="L2" s="8"/>
      <c r="M2" s="9"/>
      <c r="N2" s="10">
        <v>60.0</v>
      </c>
      <c r="O2" s="18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/>
      <c r="AF2" s="5"/>
    </row>
    <row r="3" ht="23.25" customHeight="1">
      <c r="A3" s="21"/>
      <c r="B3" s="22"/>
      <c r="C3" s="16">
        <v>50.0</v>
      </c>
      <c r="D3" s="4"/>
      <c r="E3" s="5">
        <v>1.0</v>
      </c>
      <c r="F3" s="17">
        <f t="shared" si="1"/>
        <v>10</v>
      </c>
      <c r="G3" s="23" t="s">
        <v>3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5"/>
      <c r="AF3" s="5"/>
    </row>
    <row r="4" ht="23.25" customHeight="1">
      <c r="A4" s="26" t="s">
        <v>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/>
    </row>
    <row r="5" ht="17.25" customHeight="1">
      <c r="A5" s="30" t="s">
        <v>5</v>
      </c>
      <c r="B5" s="31"/>
      <c r="C5" s="32" t="s">
        <v>6</v>
      </c>
      <c r="D5" s="33"/>
      <c r="E5" s="33"/>
      <c r="F5" s="31"/>
      <c r="G5" s="34" t="s">
        <v>7</v>
      </c>
      <c r="H5" s="31"/>
      <c r="I5" s="35" t="s">
        <v>8</v>
      </c>
      <c r="J5" s="33"/>
      <c r="K5" s="33"/>
      <c r="L5" s="33"/>
      <c r="M5" s="31"/>
      <c r="N5" s="34" t="s">
        <v>9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1"/>
      <c r="Z5" s="36" t="s">
        <v>10</v>
      </c>
      <c r="AA5" s="33"/>
      <c r="AB5" s="33"/>
      <c r="AC5" s="33"/>
      <c r="AD5" s="33"/>
      <c r="AE5" s="37"/>
      <c r="AF5" s="29"/>
    </row>
    <row r="6" ht="15.75" customHeight="1">
      <c r="A6" s="38" t="s">
        <v>11</v>
      </c>
      <c r="B6" s="39"/>
      <c r="C6" s="40" t="s">
        <v>12</v>
      </c>
      <c r="D6" s="40"/>
      <c r="E6" s="41" t="s">
        <v>13</v>
      </c>
      <c r="F6" s="39"/>
      <c r="G6" s="42" t="s">
        <v>14</v>
      </c>
      <c r="H6" s="39"/>
      <c r="I6" s="41" t="s">
        <v>15</v>
      </c>
      <c r="J6" s="39"/>
      <c r="K6" s="42" t="s">
        <v>16</v>
      </c>
      <c r="L6" s="39"/>
      <c r="M6" s="41" t="s">
        <v>17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39"/>
      <c r="Z6" s="42" t="s">
        <v>18</v>
      </c>
      <c r="AA6" s="39"/>
      <c r="AB6" s="41" t="s">
        <v>19</v>
      </c>
      <c r="AC6" s="39"/>
      <c r="AD6" s="42" t="s">
        <v>20</v>
      </c>
      <c r="AE6" s="44"/>
      <c r="AF6" s="45" t="s">
        <v>14</v>
      </c>
    </row>
    <row r="7" ht="23.25" customHeight="1">
      <c r="A7" s="46"/>
      <c r="B7" s="46"/>
      <c r="C7" s="46"/>
      <c r="D7" s="47"/>
      <c r="E7" s="48" t="s">
        <v>21</v>
      </c>
      <c r="F7" s="49"/>
      <c r="G7" s="49"/>
      <c r="H7" s="49"/>
      <c r="I7" s="50"/>
      <c r="J7" s="48" t="s">
        <v>22</v>
      </c>
      <c r="K7" s="49"/>
      <c r="L7" s="49"/>
      <c r="M7" s="49"/>
      <c r="N7" s="50"/>
      <c r="O7" s="48" t="s">
        <v>23</v>
      </c>
      <c r="P7" s="49"/>
      <c r="Q7" s="49"/>
      <c r="R7" s="49"/>
      <c r="S7" s="50"/>
      <c r="T7" s="48" t="s">
        <v>24</v>
      </c>
      <c r="U7" s="49"/>
      <c r="V7" s="49"/>
      <c r="W7" s="49"/>
      <c r="X7" s="50"/>
      <c r="Y7" s="46"/>
      <c r="Z7" s="48"/>
      <c r="AA7" s="49"/>
      <c r="AB7" s="49"/>
      <c r="AC7" s="49"/>
      <c r="AD7" s="49"/>
      <c r="AE7" s="50"/>
      <c r="AF7" s="45" t="s">
        <v>16</v>
      </c>
    </row>
    <row r="8" ht="15.75" customHeight="1">
      <c r="A8" s="51" t="s">
        <v>25</v>
      </c>
      <c r="B8" s="52" t="s">
        <v>26</v>
      </c>
      <c r="C8" s="53" t="s">
        <v>27</v>
      </c>
      <c r="D8" s="54" t="s">
        <v>28</v>
      </c>
      <c r="E8" s="55" t="s">
        <v>29</v>
      </c>
      <c r="F8" s="49"/>
      <c r="G8" s="49"/>
      <c r="H8" s="50"/>
      <c r="I8" s="56">
        <f>SUM(E10:I10)</f>
        <v>25</v>
      </c>
      <c r="J8" s="55" t="s">
        <v>29</v>
      </c>
      <c r="K8" s="49"/>
      <c r="L8" s="49"/>
      <c r="M8" s="50"/>
      <c r="N8" s="56">
        <f>SUM(J10:N10)</f>
        <v>25</v>
      </c>
      <c r="O8" s="55" t="s">
        <v>29</v>
      </c>
      <c r="P8" s="49"/>
      <c r="Q8" s="49"/>
      <c r="R8" s="50"/>
      <c r="S8" s="56">
        <f>SUM(O10:S10)</f>
        <v>40</v>
      </c>
      <c r="T8" s="55" t="s">
        <v>29</v>
      </c>
      <c r="U8" s="49"/>
      <c r="V8" s="49"/>
      <c r="W8" s="50"/>
      <c r="X8" s="56">
        <f>SUM(T10:X10)</f>
        <v>60</v>
      </c>
      <c r="Y8" s="57" t="s">
        <v>30</v>
      </c>
      <c r="Z8" s="57" t="s">
        <v>31</v>
      </c>
      <c r="AA8" s="57" t="s">
        <v>32</v>
      </c>
      <c r="AB8" s="57" t="s">
        <v>33</v>
      </c>
      <c r="AC8" s="57" t="s">
        <v>34</v>
      </c>
      <c r="AD8" s="57" t="s">
        <v>35</v>
      </c>
      <c r="AE8" s="57" t="s">
        <v>36</v>
      </c>
      <c r="AF8" s="45" t="s">
        <v>37</v>
      </c>
    </row>
    <row r="9" ht="14.25" customHeight="1">
      <c r="A9" s="58"/>
      <c r="B9" s="58"/>
      <c r="C9" s="59"/>
      <c r="D9" s="60"/>
      <c r="E9" s="57" t="s">
        <v>31</v>
      </c>
      <c r="F9" s="57" t="s">
        <v>32</v>
      </c>
      <c r="G9" s="57" t="s">
        <v>33</v>
      </c>
      <c r="H9" s="57" t="s">
        <v>34</v>
      </c>
      <c r="I9" s="57" t="s">
        <v>35</v>
      </c>
      <c r="J9" s="57" t="s">
        <v>31</v>
      </c>
      <c r="K9" s="57" t="s">
        <v>32</v>
      </c>
      <c r="L9" s="57" t="s">
        <v>33</v>
      </c>
      <c r="M9" s="57" t="s">
        <v>34</v>
      </c>
      <c r="N9" s="57" t="s">
        <v>35</v>
      </c>
      <c r="O9" s="57" t="s">
        <v>31</v>
      </c>
      <c r="P9" s="57" t="s">
        <v>32</v>
      </c>
      <c r="Q9" s="57" t="s">
        <v>33</v>
      </c>
      <c r="R9" s="57" t="s">
        <v>34</v>
      </c>
      <c r="S9" s="57" t="s">
        <v>35</v>
      </c>
      <c r="T9" s="57" t="s">
        <v>31</v>
      </c>
      <c r="U9" s="57" t="s">
        <v>32</v>
      </c>
      <c r="V9" s="57" t="s">
        <v>33</v>
      </c>
      <c r="W9" s="57" t="s">
        <v>34</v>
      </c>
      <c r="X9" s="61" t="s">
        <v>35</v>
      </c>
      <c r="Y9" s="62" t="s">
        <v>38</v>
      </c>
      <c r="Z9" s="62" t="s">
        <v>38</v>
      </c>
      <c r="AA9" s="62" t="s">
        <v>38</v>
      </c>
      <c r="AB9" s="62" t="s">
        <v>38</v>
      </c>
      <c r="AC9" s="62" t="s">
        <v>38</v>
      </c>
      <c r="AD9" s="62" t="s">
        <v>38</v>
      </c>
      <c r="AE9" s="61" t="s">
        <v>38</v>
      </c>
      <c r="AF9" s="45" t="s">
        <v>39</v>
      </c>
    </row>
    <row r="10" ht="22.5" customHeight="1">
      <c r="A10" s="59"/>
      <c r="B10" s="59"/>
      <c r="C10" s="63" t="s">
        <v>40</v>
      </c>
      <c r="D10" s="63" t="s">
        <v>41</v>
      </c>
      <c r="E10" s="63">
        <v>10.0</v>
      </c>
      <c r="F10" s="63">
        <v>15.0</v>
      </c>
      <c r="G10" s="63">
        <v>0.0</v>
      </c>
      <c r="H10" s="63">
        <v>0.0</v>
      </c>
      <c r="I10" s="63">
        <v>0.0</v>
      </c>
      <c r="J10" s="63">
        <v>15.0</v>
      </c>
      <c r="K10" s="63">
        <v>10.0</v>
      </c>
      <c r="L10" s="63">
        <v>0.0</v>
      </c>
      <c r="M10" s="63">
        <v>0.0</v>
      </c>
      <c r="N10" s="63">
        <v>0.0</v>
      </c>
      <c r="O10" s="63">
        <v>6.0</v>
      </c>
      <c r="P10" s="63">
        <v>4.0</v>
      </c>
      <c r="Q10" s="63">
        <v>20.0</v>
      </c>
      <c r="R10" s="63">
        <v>10.0</v>
      </c>
      <c r="S10" s="63">
        <v>0.0</v>
      </c>
      <c r="T10" s="63">
        <v>5.0</v>
      </c>
      <c r="U10" s="63">
        <v>10.0</v>
      </c>
      <c r="V10" s="63">
        <v>20.0</v>
      </c>
      <c r="W10" s="63">
        <v>25.0</v>
      </c>
      <c r="X10" s="63">
        <v>0.0</v>
      </c>
      <c r="Y10" s="64">
        <f>100 * SUM(E10:X10) / SUM(I$8, N$8, S$8, X$8)</f>
        <v>100</v>
      </c>
      <c r="Z10" s="62">
        <f t="shared" ref="Z10:AD10" si="2">IF((E10+J10+O10+T10)&gt;0,100,"")</f>
        <v>100</v>
      </c>
      <c r="AA10" s="62">
        <f t="shared" si="2"/>
        <v>100</v>
      </c>
      <c r="AB10" s="62">
        <f t="shared" si="2"/>
        <v>100</v>
      </c>
      <c r="AC10" s="62">
        <f t="shared" si="2"/>
        <v>100</v>
      </c>
      <c r="AD10" s="62" t="str">
        <f t="shared" si="2"/>
        <v/>
      </c>
      <c r="AE10" s="61">
        <f>IFERROR(AVERAGE(Z10:AD10),"")</f>
        <v>100</v>
      </c>
      <c r="AF10" s="29"/>
    </row>
    <row r="11" ht="15.0" customHeight="1">
      <c r="A11" s="65">
        <v>1.0</v>
      </c>
      <c r="B11" s="66" t="s">
        <v>42</v>
      </c>
      <c r="C11" s="67" t="s">
        <v>43</v>
      </c>
      <c r="D11" s="68"/>
      <c r="E11" s="69">
        <v>5.0</v>
      </c>
      <c r="F11" s="70">
        <v>7.0</v>
      </c>
      <c r="G11" s="70"/>
      <c r="H11" s="71"/>
      <c r="I11" s="71"/>
      <c r="J11" s="72">
        <v>13.0</v>
      </c>
      <c r="K11" s="72">
        <v>8.0</v>
      </c>
      <c r="L11" s="73"/>
      <c r="M11" s="73"/>
      <c r="N11" s="73"/>
      <c r="O11" s="74">
        <v>3.0</v>
      </c>
      <c r="P11" s="75">
        <v>2.0</v>
      </c>
      <c r="Q11" s="75">
        <v>8.0</v>
      </c>
      <c r="R11" s="75">
        <v>4.0</v>
      </c>
      <c r="S11" s="75"/>
      <c r="T11" s="76">
        <v>1.0</v>
      </c>
      <c r="U11" s="76">
        <v>3.0</v>
      </c>
      <c r="V11" s="76">
        <v>6.0</v>
      </c>
      <c r="W11" s="76">
        <v>7.0</v>
      </c>
      <c r="X11" s="76"/>
      <c r="Y11" s="77">
        <f>IF(OR( $B17="", $B17="AB", $B17="UR", $C17="", $C17="AB", $C17="UR", $D17="AB", $D17="UR"),"",(IF(OR(I$8&gt;0,N$8&gt;0,S$8&gt;0,X$8&gt;0),(100*SUM(E17:X17)/(I$8+N$8+S$8+X$8))," ")))</f>
        <v>55.66666667</v>
      </c>
      <c r="Z11" s="78"/>
      <c r="AA11" s="78"/>
      <c r="AB11" s="78"/>
      <c r="AC11" s="78"/>
      <c r="AD11" s="78"/>
      <c r="AE11" s="2"/>
      <c r="AF11" s="29"/>
    </row>
    <row r="12" ht="15.0" customHeight="1">
      <c r="A12" s="79">
        <v>2.0</v>
      </c>
      <c r="B12" s="80" t="s">
        <v>44</v>
      </c>
      <c r="C12" s="81" t="s">
        <v>45</v>
      </c>
      <c r="D12" s="82"/>
      <c r="E12" s="83">
        <v>8.0</v>
      </c>
      <c r="F12" s="84">
        <v>13.0</v>
      </c>
      <c r="G12" s="84"/>
      <c r="H12" s="85"/>
      <c r="I12" s="85"/>
      <c r="J12" s="86">
        <v>14.0</v>
      </c>
      <c r="K12" s="86">
        <v>9.0</v>
      </c>
      <c r="L12" s="87"/>
      <c r="M12" s="87"/>
      <c r="N12" s="87"/>
      <c r="O12" s="88">
        <v>3.0</v>
      </c>
      <c r="P12" s="89">
        <v>2.0</v>
      </c>
      <c r="Q12" s="89">
        <v>12.0</v>
      </c>
      <c r="R12" s="89">
        <v>6.0</v>
      </c>
      <c r="S12" s="89"/>
      <c r="T12" s="90">
        <v>3.0</v>
      </c>
      <c r="U12" s="90">
        <v>5.0</v>
      </c>
      <c r="V12" s="90">
        <v>11.0</v>
      </c>
      <c r="W12" s="90">
        <v>13.0</v>
      </c>
      <c r="X12" s="90"/>
      <c r="Y12" s="14"/>
      <c r="AE12" s="15"/>
      <c r="AF12" s="29"/>
    </row>
    <row r="13" ht="15.0" customHeight="1">
      <c r="A13" s="65">
        <v>3.0</v>
      </c>
      <c r="B13" s="80" t="s">
        <v>46</v>
      </c>
      <c r="C13" s="91" t="s">
        <v>47</v>
      </c>
      <c r="D13" s="82"/>
      <c r="E13" s="83">
        <v>5.0</v>
      </c>
      <c r="F13" s="84">
        <v>6.5</v>
      </c>
      <c r="G13" s="84"/>
      <c r="H13" s="85"/>
      <c r="I13" s="85"/>
      <c r="J13" s="86">
        <v>14.0</v>
      </c>
      <c r="K13" s="86">
        <v>9.0</v>
      </c>
      <c r="L13" s="87"/>
      <c r="M13" s="87"/>
      <c r="N13" s="87"/>
      <c r="O13" s="88">
        <v>2.0</v>
      </c>
      <c r="P13" s="89">
        <v>2.0</v>
      </c>
      <c r="Q13" s="89">
        <v>7.0</v>
      </c>
      <c r="R13" s="89">
        <v>4.0</v>
      </c>
      <c r="S13" s="89"/>
      <c r="T13" s="90">
        <v>1.0</v>
      </c>
      <c r="U13" s="90">
        <v>1.0</v>
      </c>
      <c r="V13" s="90">
        <v>2.0</v>
      </c>
      <c r="W13" s="90">
        <v>2.0</v>
      </c>
      <c r="X13" s="90"/>
      <c r="Y13" s="14"/>
      <c r="AE13" s="15"/>
      <c r="AF13" s="29"/>
    </row>
    <row r="14" ht="15.0" customHeight="1">
      <c r="A14" s="79">
        <v>4.0</v>
      </c>
      <c r="B14" s="80" t="s">
        <v>48</v>
      </c>
      <c r="C14" s="81" t="s">
        <v>49</v>
      </c>
      <c r="D14" s="82"/>
      <c r="E14" s="83">
        <v>8.0</v>
      </c>
      <c r="F14" s="84">
        <v>11.5</v>
      </c>
      <c r="G14" s="84"/>
      <c r="H14" s="85"/>
      <c r="I14" s="85"/>
      <c r="J14" s="86">
        <v>13.0</v>
      </c>
      <c r="K14" s="86">
        <v>8.0</v>
      </c>
      <c r="L14" s="87"/>
      <c r="M14" s="87"/>
      <c r="N14" s="87"/>
      <c r="O14" s="88">
        <v>4.0</v>
      </c>
      <c r="P14" s="89">
        <v>2.0</v>
      </c>
      <c r="Q14" s="89">
        <v>12.5</v>
      </c>
      <c r="R14" s="89">
        <v>6.0</v>
      </c>
      <c r="S14" s="89"/>
      <c r="T14" s="90">
        <v>3.0</v>
      </c>
      <c r="U14" s="90">
        <v>5.0</v>
      </c>
      <c r="V14" s="90">
        <v>10.0</v>
      </c>
      <c r="W14" s="90">
        <v>12.0</v>
      </c>
      <c r="X14" s="90"/>
      <c r="Y14" s="14"/>
      <c r="AE14" s="15"/>
      <c r="AF14" s="29"/>
    </row>
    <row r="15" ht="15.0" customHeight="1">
      <c r="A15" s="65">
        <v>5.0</v>
      </c>
      <c r="B15" s="80" t="s">
        <v>50</v>
      </c>
      <c r="C15" s="81" t="s">
        <v>51</v>
      </c>
      <c r="D15" s="82"/>
      <c r="E15" s="83">
        <v>9.0</v>
      </c>
      <c r="F15" s="84">
        <v>12.5</v>
      </c>
      <c r="G15" s="84"/>
      <c r="H15" s="85"/>
      <c r="I15" s="85"/>
      <c r="J15" s="86">
        <v>11.0</v>
      </c>
      <c r="K15" s="86">
        <v>8.0</v>
      </c>
      <c r="L15" s="87"/>
      <c r="M15" s="87"/>
      <c r="N15" s="87"/>
      <c r="O15" s="88">
        <v>4.0</v>
      </c>
      <c r="P15" s="89">
        <v>3.0</v>
      </c>
      <c r="Q15" s="89">
        <v>13.5</v>
      </c>
      <c r="R15" s="89">
        <v>7.0</v>
      </c>
      <c r="S15" s="89"/>
      <c r="T15" s="90">
        <v>2.0</v>
      </c>
      <c r="U15" s="90">
        <v>4.0</v>
      </c>
      <c r="V15" s="90">
        <v>9.0</v>
      </c>
      <c r="W15" s="90">
        <v>11.0</v>
      </c>
      <c r="X15" s="90"/>
      <c r="Y15" s="14"/>
      <c r="AE15" s="15"/>
      <c r="AF15" s="29"/>
    </row>
    <row r="16" ht="15.0" customHeight="1">
      <c r="A16" s="79">
        <v>6.0</v>
      </c>
      <c r="B16" s="80" t="s">
        <v>52</v>
      </c>
      <c r="C16" s="81" t="s">
        <v>53</v>
      </c>
      <c r="D16" s="82"/>
      <c r="E16" s="83">
        <v>6.0</v>
      </c>
      <c r="F16" s="84">
        <v>9.0</v>
      </c>
      <c r="G16" s="84"/>
      <c r="H16" s="85"/>
      <c r="I16" s="85"/>
      <c r="J16" s="86">
        <v>14.0</v>
      </c>
      <c r="K16" s="86">
        <v>9.0</v>
      </c>
      <c r="L16" s="87"/>
      <c r="M16" s="87"/>
      <c r="N16" s="87"/>
      <c r="O16" s="88">
        <v>3.0</v>
      </c>
      <c r="P16" s="89">
        <v>2.0</v>
      </c>
      <c r="Q16" s="89">
        <v>10.0</v>
      </c>
      <c r="R16" s="89">
        <v>5.0</v>
      </c>
      <c r="S16" s="89"/>
      <c r="T16" s="90">
        <v>2.0</v>
      </c>
      <c r="U16" s="90">
        <v>4.0</v>
      </c>
      <c r="V16" s="90">
        <v>7.0</v>
      </c>
      <c r="W16" s="90">
        <v>9.0</v>
      </c>
      <c r="X16" s="90"/>
      <c r="Y16" s="14"/>
      <c r="AE16" s="15"/>
      <c r="AF16" s="29"/>
    </row>
    <row r="17" ht="15.0" customHeight="1">
      <c r="A17" s="65">
        <v>7.0</v>
      </c>
      <c r="B17" s="80" t="s">
        <v>54</v>
      </c>
      <c r="C17" s="81" t="s">
        <v>55</v>
      </c>
      <c r="D17" s="82"/>
      <c r="E17" s="83">
        <v>7.0</v>
      </c>
      <c r="F17" s="84">
        <v>11.0</v>
      </c>
      <c r="G17" s="84"/>
      <c r="H17" s="85"/>
      <c r="I17" s="85"/>
      <c r="J17" s="86">
        <v>14.0</v>
      </c>
      <c r="K17" s="86">
        <v>9.0</v>
      </c>
      <c r="L17" s="87"/>
      <c r="M17" s="87"/>
      <c r="N17" s="87"/>
      <c r="O17" s="88">
        <v>3.0</v>
      </c>
      <c r="P17" s="89">
        <v>2.0</v>
      </c>
      <c r="Q17" s="89">
        <v>10.5</v>
      </c>
      <c r="R17" s="89">
        <v>5.0</v>
      </c>
      <c r="S17" s="89"/>
      <c r="T17" s="90">
        <v>2.0</v>
      </c>
      <c r="U17" s="90">
        <v>4.0</v>
      </c>
      <c r="V17" s="90">
        <v>7.0</v>
      </c>
      <c r="W17" s="90">
        <v>9.0</v>
      </c>
      <c r="X17" s="90"/>
      <c r="Y17" s="14"/>
      <c r="AE17" s="15"/>
      <c r="AF17" s="29"/>
    </row>
    <row r="18" ht="15.0" customHeight="1">
      <c r="A18" s="79">
        <v>8.0</v>
      </c>
      <c r="B18" s="80" t="s">
        <v>56</v>
      </c>
      <c r="C18" s="81" t="s">
        <v>57</v>
      </c>
      <c r="D18" s="82"/>
      <c r="E18" s="83">
        <v>5.0</v>
      </c>
      <c r="F18" s="84">
        <v>8.5</v>
      </c>
      <c r="G18" s="84"/>
      <c r="H18" s="85"/>
      <c r="I18" s="85"/>
      <c r="J18" s="86">
        <v>13.0</v>
      </c>
      <c r="K18" s="86">
        <v>8.0</v>
      </c>
      <c r="L18" s="87"/>
      <c r="M18" s="87"/>
      <c r="N18" s="87"/>
      <c r="O18" s="88">
        <v>3.0</v>
      </c>
      <c r="P18" s="89">
        <v>2.0</v>
      </c>
      <c r="Q18" s="89">
        <v>10.0</v>
      </c>
      <c r="R18" s="89">
        <v>5.0</v>
      </c>
      <c r="S18" s="89"/>
      <c r="T18" s="90">
        <v>2.0</v>
      </c>
      <c r="U18" s="90">
        <v>3.0</v>
      </c>
      <c r="V18" s="90">
        <v>6.0</v>
      </c>
      <c r="W18" s="90">
        <v>7.0</v>
      </c>
      <c r="X18" s="90"/>
      <c r="Y18" s="14"/>
      <c r="AE18" s="15"/>
      <c r="AF18" s="29"/>
    </row>
    <row r="19" ht="15.0" customHeight="1">
      <c r="A19" s="65">
        <v>9.0</v>
      </c>
      <c r="B19" s="80" t="s">
        <v>58</v>
      </c>
      <c r="C19" s="81" t="s">
        <v>59</v>
      </c>
      <c r="D19" s="82"/>
      <c r="E19" s="83">
        <v>6.0</v>
      </c>
      <c r="F19" s="84">
        <v>8.5</v>
      </c>
      <c r="G19" s="84"/>
      <c r="H19" s="85"/>
      <c r="I19" s="85"/>
      <c r="J19" s="86">
        <v>15.0</v>
      </c>
      <c r="K19" s="86">
        <v>10.0</v>
      </c>
      <c r="L19" s="87"/>
      <c r="M19" s="87"/>
      <c r="N19" s="87"/>
      <c r="O19" s="88">
        <v>3.0</v>
      </c>
      <c r="P19" s="89">
        <v>2.0</v>
      </c>
      <c r="Q19" s="89">
        <v>11.5</v>
      </c>
      <c r="R19" s="89">
        <v>5.0</v>
      </c>
      <c r="S19" s="89"/>
      <c r="T19" s="90">
        <v>2.0</v>
      </c>
      <c r="U19" s="90">
        <v>4.0</v>
      </c>
      <c r="V19" s="90">
        <v>8.0</v>
      </c>
      <c r="W19" s="90">
        <v>10.5</v>
      </c>
      <c r="X19" s="90"/>
      <c r="Y19" s="14"/>
      <c r="AE19" s="15"/>
      <c r="AF19" s="29"/>
    </row>
    <row r="20" ht="15.0" customHeight="1">
      <c r="A20" s="79">
        <v>10.0</v>
      </c>
      <c r="B20" s="80" t="s">
        <v>60</v>
      </c>
      <c r="C20" s="81" t="s">
        <v>61</v>
      </c>
      <c r="D20" s="82"/>
      <c r="E20" s="83">
        <v>8.0</v>
      </c>
      <c r="F20" s="84">
        <v>13.0</v>
      </c>
      <c r="G20" s="84"/>
      <c r="H20" s="85"/>
      <c r="I20" s="85"/>
      <c r="J20" s="86">
        <v>14.0</v>
      </c>
      <c r="K20" s="86">
        <v>9.0</v>
      </c>
      <c r="L20" s="87"/>
      <c r="M20" s="87"/>
      <c r="N20" s="87"/>
      <c r="O20" s="88">
        <v>3.0</v>
      </c>
      <c r="P20" s="89">
        <v>2.0</v>
      </c>
      <c r="Q20" s="89">
        <v>11.0</v>
      </c>
      <c r="R20" s="89">
        <v>6.0</v>
      </c>
      <c r="S20" s="89"/>
      <c r="T20" s="90">
        <v>3.0</v>
      </c>
      <c r="U20" s="90">
        <v>5.0</v>
      </c>
      <c r="V20" s="90">
        <v>10.0</v>
      </c>
      <c r="W20" s="90">
        <v>12.0</v>
      </c>
      <c r="X20" s="90"/>
      <c r="Y20" s="14"/>
      <c r="AE20" s="15"/>
      <c r="AF20" s="29"/>
    </row>
    <row r="21" ht="15.0" customHeight="1">
      <c r="A21" s="65">
        <v>11.0</v>
      </c>
      <c r="B21" s="80" t="s">
        <v>62</v>
      </c>
      <c r="C21" s="81" t="s">
        <v>63</v>
      </c>
      <c r="D21" s="82"/>
      <c r="E21" s="83">
        <v>7.0</v>
      </c>
      <c r="F21" s="84">
        <v>11.0</v>
      </c>
      <c r="G21" s="84"/>
      <c r="H21" s="85"/>
      <c r="I21" s="85"/>
      <c r="J21" s="86">
        <v>14.0</v>
      </c>
      <c r="K21" s="86">
        <v>9.0</v>
      </c>
      <c r="L21" s="87"/>
      <c r="M21" s="87"/>
      <c r="N21" s="87"/>
      <c r="O21" s="88">
        <v>1.0</v>
      </c>
      <c r="P21" s="89">
        <v>1.0</v>
      </c>
      <c r="Q21" s="89">
        <v>4.5</v>
      </c>
      <c r="R21" s="89">
        <v>2.0</v>
      </c>
      <c r="S21" s="89"/>
      <c r="T21" s="90">
        <v>1.0</v>
      </c>
      <c r="U21" s="90">
        <v>2.0</v>
      </c>
      <c r="V21" s="90">
        <v>3.0</v>
      </c>
      <c r="W21" s="90">
        <v>3.0</v>
      </c>
      <c r="X21" s="90"/>
      <c r="Y21" s="14"/>
      <c r="AE21" s="15"/>
      <c r="AF21" s="29"/>
    </row>
    <row r="22" ht="15.0" customHeight="1">
      <c r="A22" s="79">
        <v>12.0</v>
      </c>
      <c r="B22" s="80" t="s">
        <v>64</v>
      </c>
      <c r="C22" s="81" t="s">
        <v>65</v>
      </c>
      <c r="D22" s="82"/>
      <c r="E22" s="83">
        <v>7.0</v>
      </c>
      <c r="F22" s="84">
        <v>9.5</v>
      </c>
      <c r="G22" s="84"/>
      <c r="H22" s="85"/>
      <c r="I22" s="85"/>
      <c r="J22" s="86">
        <v>13.0</v>
      </c>
      <c r="K22" s="86">
        <v>8.0</v>
      </c>
      <c r="L22" s="87"/>
      <c r="M22" s="87"/>
      <c r="N22" s="87"/>
      <c r="O22" s="88">
        <v>3.0</v>
      </c>
      <c r="P22" s="89">
        <v>2.0</v>
      </c>
      <c r="Q22" s="89">
        <v>11.0</v>
      </c>
      <c r="R22" s="89">
        <v>5.0</v>
      </c>
      <c r="S22" s="89"/>
      <c r="T22" s="90">
        <v>2.0</v>
      </c>
      <c r="U22" s="90">
        <v>3.0</v>
      </c>
      <c r="V22" s="90">
        <v>6.0</v>
      </c>
      <c r="W22" s="90">
        <v>7.5</v>
      </c>
      <c r="X22" s="90"/>
      <c r="Y22" s="14"/>
      <c r="AE22" s="15"/>
      <c r="AF22" s="29"/>
    </row>
    <row r="23" ht="15.0" customHeight="1">
      <c r="A23" s="65">
        <v>13.0</v>
      </c>
      <c r="B23" s="80" t="s">
        <v>66</v>
      </c>
      <c r="C23" s="81" t="s">
        <v>67</v>
      </c>
      <c r="D23" s="82"/>
      <c r="E23" s="83">
        <v>6.0</v>
      </c>
      <c r="F23" s="84">
        <v>10.0</v>
      </c>
      <c r="G23" s="84"/>
      <c r="H23" s="85"/>
      <c r="I23" s="85"/>
      <c r="J23" s="86">
        <v>11.0</v>
      </c>
      <c r="K23" s="86">
        <v>8.0</v>
      </c>
      <c r="L23" s="87"/>
      <c r="M23" s="87"/>
      <c r="N23" s="87"/>
      <c r="O23" s="88">
        <v>3.0</v>
      </c>
      <c r="P23" s="89">
        <v>2.0</v>
      </c>
      <c r="Q23" s="89">
        <v>9.0</v>
      </c>
      <c r="R23" s="89">
        <v>5.0</v>
      </c>
      <c r="S23" s="89"/>
      <c r="T23" s="90">
        <v>2.0</v>
      </c>
      <c r="U23" s="90">
        <v>3.0</v>
      </c>
      <c r="V23" s="90">
        <v>7.0</v>
      </c>
      <c r="W23" s="90">
        <v>7.5</v>
      </c>
      <c r="X23" s="90"/>
      <c r="Y23" s="14"/>
      <c r="AE23" s="15"/>
      <c r="AF23" s="29"/>
    </row>
    <row r="24" ht="15.0" customHeight="1">
      <c r="A24" s="79">
        <v>14.0</v>
      </c>
      <c r="B24" s="80" t="s">
        <v>68</v>
      </c>
      <c r="C24" s="81" t="s">
        <v>69</v>
      </c>
      <c r="D24" s="82"/>
      <c r="E24" s="83">
        <v>4.0</v>
      </c>
      <c r="F24" s="84">
        <v>6.0</v>
      </c>
      <c r="G24" s="84"/>
      <c r="H24" s="85"/>
      <c r="I24" s="85"/>
      <c r="J24" s="86">
        <v>14.0</v>
      </c>
      <c r="K24" s="86">
        <v>9.0</v>
      </c>
      <c r="L24" s="87"/>
      <c r="M24" s="87"/>
      <c r="N24" s="87"/>
      <c r="O24" s="88">
        <v>2.0</v>
      </c>
      <c r="P24" s="89">
        <v>1.0</v>
      </c>
      <c r="Q24" s="89">
        <v>7.5</v>
      </c>
      <c r="R24" s="89">
        <v>3.0</v>
      </c>
      <c r="S24" s="89"/>
      <c r="T24" s="90">
        <v>2.0</v>
      </c>
      <c r="U24" s="90">
        <v>4.0</v>
      </c>
      <c r="V24" s="90">
        <v>7.0</v>
      </c>
      <c r="W24" s="90">
        <v>8.0</v>
      </c>
      <c r="X24" s="90"/>
      <c r="Y24" s="14"/>
      <c r="AE24" s="15"/>
      <c r="AF24" s="29"/>
    </row>
    <row r="25" ht="15.0" customHeight="1">
      <c r="A25" s="65">
        <v>15.0</v>
      </c>
      <c r="B25" s="80" t="s">
        <v>70</v>
      </c>
      <c r="C25" s="81" t="s">
        <v>71</v>
      </c>
      <c r="D25" s="82"/>
      <c r="E25" s="83">
        <v>4.0</v>
      </c>
      <c r="F25" s="84">
        <v>7.0</v>
      </c>
      <c r="G25" s="84"/>
      <c r="H25" s="85"/>
      <c r="I25" s="85"/>
      <c r="J25" s="86">
        <v>13.0</v>
      </c>
      <c r="K25" s="86">
        <v>8.0</v>
      </c>
      <c r="L25" s="87"/>
      <c r="M25" s="87"/>
      <c r="N25" s="87"/>
      <c r="O25" s="88">
        <v>2.0</v>
      </c>
      <c r="P25" s="89">
        <v>1.0</v>
      </c>
      <c r="Q25" s="89">
        <v>7.5</v>
      </c>
      <c r="R25" s="89">
        <v>4.0</v>
      </c>
      <c r="S25" s="89"/>
      <c r="T25" s="90">
        <v>2.0</v>
      </c>
      <c r="U25" s="90">
        <v>4.0</v>
      </c>
      <c r="V25" s="90">
        <v>8.0</v>
      </c>
      <c r="W25" s="90">
        <v>10.5</v>
      </c>
      <c r="X25" s="90"/>
      <c r="Y25" s="14"/>
      <c r="AE25" s="15"/>
      <c r="AF25" s="29"/>
    </row>
    <row r="26" ht="15.0" customHeight="1">
      <c r="A26" s="79">
        <v>16.0</v>
      </c>
      <c r="B26" s="80" t="s">
        <v>72</v>
      </c>
      <c r="C26" s="81" t="s">
        <v>73</v>
      </c>
      <c r="D26" s="82"/>
      <c r="E26" s="83">
        <v>2.0</v>
      </c>
      <c r="F26" s="84">
        <v>3.0</v>
      </c>
      <c r="G26" s="84"/>
      <c r="H26" s="85"/>
      <c r="I26" s="85"/>
      <c r="J26" s="86">
        <v>9.0</v>
      </c>
      <c r="K26" s="86">
        <v>6.0</v>
      </c>
      <c r="L26" s="87"/>
      <c r="M26" s="87"/>
      <c r="N26" s="87"/>
      <c r="O26" s="88">
        <v>2.0</v>
      </c>
      <c r="P26" s="89">
        <v>1.0</v>
      </c>
      <c r="Q26" s="89">
        <v>7.0</v>
      </c>
      <c r="R26" s="89">
        <v>3.0</v>
      </c>
      <c r="S26" s="89"/>
      <c r="T26" s="90">
        <v>2.0</v>
      </c>
      <c r="U26" s="90">
        <v>3.0</v>
      </c>
      <c r="V26" s="90">
        <v>6.0</v>
      </c>
      <c r="W26" s="90">
        <v>7.5</v>
      </c>
      <c r="X26" s="90"/>
      <c r="Y26" s="14"/>
      <c r="AE26" s="15"/>
      <c r="AF26" s="29"/>
    </row>
    <row r="27" ht="15.0" customHeight="1">
      <c r="A27" s="65">
        <v>17.0</v>
      </c>
      <c r="B27" s="80" t="s">
        <v>74</v>
      </c>
      <c r="C27" s="81" t="s">
        <v>75</v>
      </c>
      <c r="D27" s="82"/>
      <c r="E27" s="83">
        <v>5.0</v>
      </c>
      <c r="F27" s="84">
        <v>7.5</v>
      </c>
      <c r="G27" s="84"/>
      <c r="H27" s="85"/>
      <c r="I27" s="85"/>
      <c r="J27" s="86">
        <v>14.0</v>
      </c>
      <c r="K27" s="86">
        <v>9.0</v>
      </c>
      <c r="L27" s="87"/>
      <c r="M27" s="87"/>
      <c r="N27" s="87"/>
      <c r="O27" s="88">
        <v>2.0</v>
      </c>
      <c r="P27" s="89">
        <v>1.0</v>
      </c>
      <c r="Q27" s="89">
        <v>7.0</v>
      </c>
      <c r="R27" s="89">
        <v>4.0</v>
      </c>
      <c r="S27" s="89"/>
      <c r="T27" s="90">
        <v>1.0</v>
      </c>
      <c r="U27" s="90">
        <v>2.0</v>
      </c>
      <c r="V27" s="90">
        <v>4.0</v>
      </c>
      <c r="W27" s="90">
        <v>6.0</v>
      </c>
      <c r="X27" s="90"/>
      <c r="Y27" s="14"/>
      <c r="AE27" s="15"/>
      <c r="AF27" s="29"/>
    </row>
    <row r="28" ht="15.0" customHeight="1">
      <c r="A28" s="79">
        <v>18.0</v>
      </c>
      <c r="B28" s="80" t="s">
        <v>76</v>
      </c>
      <c r="C28" s="81" t="s">
        <v>77</v>
      </c>
      <c r="D28" s="82"/>
      <c r="E28" s="83">
        <v>4.0</v>
      </c>
      <c r="F28" s="84">
        <v>6.0</v>
      </c>
      <c r="G28" s="84"/>
      <c r="H28" s="85"/>
      <c r="I28" s="85"/>
      <c r="J28" s="86">
        <v>10.0</v>
      </c>
      <c r="K28" s="86">
        <v>7.0</v>
      </c>
      <c r="L28" s="87"/>
      <c r="M28" s="87"/>
      <c r="N28" s="87"/>
      <c r="O28" s="88">
        <v>2.0</v>
      </c>
      <c r="P28" s="89">
        <v>2.0</v>
      </c>
      <c r="Q28" s="89">
        <v>8.0</v>
      </c>
      <c r="R28" s="89">
        <v>4.0</v>
      </c>
      <c r="S28" s="89"/>
      <c r="T28" s="90">
        <v>1.0</v>
      </c>
      <c r="U28" s="90">
        <v>2.0</v>
      </c>
      <c r="V28" s="90">
        <v>3.0</v>
      </c>
      <c r="W28" s="90">
        <v>3.0</v>
      </c>
      <c r="X28" s="90"/>
      <c r="Y28" s="14"/>
      <c r="AE28" s="15"/>
      <c r="AF28" s="29"/>
    </row>
    <row r="29" ht="15.0" customHeight="1">
      <c r="A29" s="65">
        <v>19.0</v>
      </c>
      <c r="B29" s="80" t="s">
        <v>78</v>
      </c>
      <c r="C29" s="81" t="s">
        <v>79</v>
      </c>
      <c r="D29" s="82"/>
      <c r="E29" s="83">
        <v>6.0</v>
      </c>
      <c r="F29" s="84">
        <v>9.0</v>
      </c>
      <c r="G29" s="84"/>
      <c r="H29" s="85"/>
      <c r="I29" s="85"/>
      <c r="J29" s="86">
        <v>14.0</v>
      </c>
      <c r="K29" s="86">
        <v>9.0</v>
      </c>
      <c r="L29" s="87"/>
      <c r="M29" s="87"/>
      <c r="N29" s="87"/>
      <c r="O29" s="88">
        <v>2.0</v>
      </c>
      <c r="P29" s="89">
        <v>1.0</v>
      </c>
      <c r="Q29" s="89">
        <v>7.0</v>
      </c>
      <c r="R29" s="89">
        <v>4.0</v>
      </c>
      <c r="S29" s="89"/>
      <c r="T29" s="90">
        <v>1.0</v>
      </c>
      <c r="U29" s="90">
        <v>3.0</v>
      </c>
      <c r="V29" s="90">
        <v>5.0</v>
      </c>
      <c r="W29" s="90">
        <v>6.0</v>
      </c>
      <c r="X29" s="90"/>
      <c r="Y29" s="14"/>
      <c r="AE29" s="15"/>
      <c r="AF29" s="29"/>
    </row>
    <row r="30" ht="15.0" customHeight="1">
      <c r="A30" s="79">
        <v>20.0</v>
      </c>
      <c r="B30" s="80" t="s">
        <v>80</v>
      </c>
      <c r="C30" s="81" t="s">
        <v>81</v>
      </c>
      <c r="D30" s="82"/>
      <c r="E30" s="83">
        <v>5.0</v>
      </c>
      <c r="F30" s="84">
        <v>8.0</v>
      </c>
      <c r="G30" s="84"/>
      <c r="H30" s="85"/>
      <c r="I30" s="85"/>
      <c r="J30" s="86">
        <v>14.0</v>
      </c>
      <c r="K30" s="86">
        <v>9.0</v>
      </c>
      <c r="L30" s="87"/>
      <c r="M30" s="87"/>
      <c r="N30" s="87"/>
      <c r="O30" s="88">
        <v>3.0</v>
      </c>
      <c r="P30" s="89">
        <v>2.0</v>
      </c>
      <c r="Q30" s="89">
        <v>10.0</v>
      </c>
      <c r="R30" s="89">
        <v>5.0</v>
      </c>
      <c r="S30" s="89"/>
      <c r="T30" s="90">
        <v>2.0</v>
      </c>
      <c r="U30" s="90">
        <v>4.0</v>
      </c>
      <c r="V30" s="90">
        <v>8.0</v>
      </c>
      <c r="W30" s="90">
        <v>9.0</v>
      </c>
      <c r="X30" s="90"/>
      <c r="Y30" s="14"/>
      <c r="AE30" s="15"/>
      <c r="AF30" s="29"/>
    </row>
    <row r="31" ht="15.0" customHeight="1">
      <c r="A31" s="65">
        <v>21.0</v>
      </c>
      <c r="B31" s="80" t="s">
        <v>82</v>
      </c>
      <c r="C31" s="81" t="s">
        <v>83</v>
      </c>
      <c r="D31" s="82"/>
      <c r="E31" s="83">
        <v>8.0</v>
      </c>
      <c r="F31" s="84">
        <v>12.0</v>
      </c>
      <c r="G31" s="84"/>
      <c r="H31" s="85"/>
      <c r="I31" s="85"/>
      <c r="J31" s="86">
        <v>9.0</v>
      </c>
      <c r="K31" s="86">
        <v>6.0</v>
      </c>
      <c r="L31" s="87"/>
      <c r="M31" s="87"/>
      <c r="N31" s="87"/>
      <c r="O31" s="88">
        <v>5.0</v>
      </c>
      <c r="P31" s="89">
        <v>3.0</v>
      </c>
      <c r="Q31" s="89">
        <v>16.5</v>
      </c>
      <c r="R31" s="89">
        <v>8.0</v>
      </c>
      <c r="S31" s="89"/>
      <c r="T31" s="90">
        <v>4.0</v>
      </c>
      <c r="U31" s="90">
        <v>8.0</v>
      </c>
      <c r="V31" s="90">
        <v>15.0</v>
      </c>
      <c r="W31" s="90">
        <v>18.0</v>
      </c>
      <c r="X31" s="90"/>
      <c r="Y31" s="14"/>
      <c r="AE31" s="15"/>
      <c r="AF31" s="29"/>
    </row>
    <row r="32" ht="15.0" customHeight="1">
      <c r="A32" s="79">
        <v>22.0</v>
      </c>
      <c r="B32" s="80" t="s">
        <v>84</v>
      </c>
      <c r="C32" s="81" t="s">
        <v>85</v>
      </c>
      <c r="D32" s="82"/>
      <c r="E32" s="83">
        <v>4.0</v>
      </c>
      <c r="F32" s="84">
        <v>5.5</v>
      </c>
      <c r="G32" s="84"/>
      <c r="H32" s="85"/>
      <c r="I32" s="85"/>
      <c r="J32" s="86">
        <v>13.0</v>
      </c>
      <c r="K32" s="86">
        <v>8.0</v>
      </c>
      <c r="L32" s="87"/>
      <c r="M32" s="87"/>
      <c r="N32" s="87"/>
      <c r="O32" s="88">
        <v>1.0</v>
      </c>
      <c r="P32" s="89">
        <v>1.0</v>
      </c>
      <c r="Q32" s="89">
        <v>3.5</v>
      </c>
      <c r="R32" s="89">
        <v>2.0</v>
      </c>
      <c r="S32" s="89"/>
      <c r="T32" s="90">
        <v>1.0</v>
      </c>
      <c r="U32" s="90">
        <v>1.0</v>
      </c>
      <c r="V32" s="90">
        <v>2.0</v>
      </c>
      <c r="W32" s="90">
        <v>2.0</v>
      </c>
      <c r="X32" s="90"/>
      <c r="Y32" s="14"/>
      <c r="AE32" s="15"/>
      <c r="AF32" s="29"/>
    </row>
    <row r="33" ht="15.0" customHeight="1">
      <c r="A33" s="65">
        <v>23.0</v>
      </c>
      <c r="B33" s="80" t="s">
        <v>86</v>
      </c>
      <c r="C33" s="81" t="s">
        <v>87</v>
      </c>
      <c r="D33" s="82"/>
      <c r="E33" s="83">
        <v>7.0</v>
      </c>
      <c r="F33" s="84">
        <v>10.0</v>
      </c>
      <c r="G33" s="84"/>
      <c r="H33" s="85"/>
      <c r="I33" s="85"/>
      <c r="J33" s="86">
        <v>13.0</v>
      </c>
      <c r="K33" s="86">
        <v>8.0</v>
      </c>
      <c r="L33" s="87"/>
      <c r="M33" s="87"/>
      <c r="N33" s="87"/>
      <c r="O33" s="88">
        <v>2.0</v>
      </c>
      <c r="P33" s="89">
        <v>1.0</v>
      </c>
      <c r="Q33" s="89">
        <v>6.5</v>
      </c>
      <c r="R33" s="89">
        <v>3.0</v>
      </c>
      <c r="S33" s="89"/>
      <c r="T33" s="90">
        <v>1.0</v>
      </c>
      <c r="U33" s="90">
        <v>1.0</v>
      </c>
      <c r="V33" s="90">
        <v>3.0</v>
      </c>
      <c r="W33" s="90">
        <v>2.5</v>
      </c>
      <c r="X33" s="90"/>
      <c r="Y33" s="14"/>
      <c r="AE33" s="15"/>
      <c r="AF33" s="29"/>
    </row>
    <row r="34" ht="15.0" customHeight="1">
      <c r="A34" s="79">
        <v>24.0</v>
      </c>
      <c r="B34" s="80" t="s">
        <v>88</v>
      </c>
      <c r="C34" s="81" t="s">
        <v>89</v>
      </c>
      <c r="D34" s="82"/>
      <c r="E34" s="83">
        <v>8.0</v>
      </c>
      <c r="F34" s="84">
        <v>11.5</v>
      </c>
      <c r="G34" s="84"/>
      <c r="H34" s="85"/>
      <c r="I34" s="85"/>
      <c r="J34" s="86">
        <v>14.0</v>
      </c>
      <c r="K34" s="86">
        <v>9.0</v>
      </c>
      <c r="L34" s="87"/>
      <c r="M34" s="87"/>
      <c r="N34" s="87"/>
      <c r="O34" s="88">
        <v>3.0</v>
      </c>
      <c r="P34" s="89">
        <v>2.0</v>
      </c>
      <c r="Q34" s="89">
        <v>9.0</v>
      </c>
      <c r="R34" s="89">
        <v>5.0</v>
      </c>
      <c r="S34" s="89"/>
      <c r="T34" s="90">
        <v>2.0</v>
      </c>
      <c r="U34" s="90">
        <v>3.0</v>
      </c>
      <c r="V34" s="90">
        <v>7.0</v>
      </c>
      <c r="W34" s="90">
        <v>7.5</v>
      </c>
      <c r="X34" s="90"/>
      <c r="Y34" s="14"/>
      <c r="AE34" s="15"/>
      <c r="AF34" s="29"/>
    </row>
    <row r="35" ht="15.0" customHeight="1">
      <c r="A35" s="65">
        <v>25.0</v>
      </c>
      <c r="B35" s="80" t="s">
        <v>90</v>
      </c>
      <c r="C35" s="81" t="s">
        <v>91</v>
      </c>
      <c r="D35" s="82"/>
      <c r="E35" s="83">
        <v>4.0</v>
      </c>
      <c r="F35" s="84">
        <v>6.0</v>
      </c>
      <c r="G35" s="84"/>
      <c r="H35" s="85"/>
      <c r="I35" s="85"/>
      <c r="J35" s="86">
        <v>9.0</v>
      </c>
      <c r="K35" s="86">
        <v>6.0</v>
      </c>
      <c r="L35" s="87"/>
      <c r="M35" s="87"/>
      <c r="N35" s="87"/>
      <c r="O35" s="88">
        <v>3.0</v>
      </c>
      <c r="P35" s="89">
        <v>2.0</v>
      </c>
      <c r="Q35" s="89">
        <v>8.0</v>
      </c>
      <c r="R35" s="89">
        <v>5.0</v>
      </c>
      <c r="S35" s="89"/>
      <c r="T35" s="90">
        <v>1.0</v>
      </c>
      <c r="U35" s="90">
        <v>3.0</v>
      </c>
      <c r="V35" s="90">
        <v>5.0</v>
      </c>
      <c r="W35" s="90">
        <v>6.5</v>
      </c>
      <c r="X35" s="90"/>
      <c r="Y35" s="14"/>
      <c r="AE35" s="15"/>
      <c r="AF35" s="29"/>
    </row>
    <row r="36" ht="15.0" customHeight="1">
      <c r="A36" s="79">
        <v>26.0</v>
      </c>
      <c r="B36" s="80" t="s">
        <v>92</v>
      </c>
      <c r="C36" s="81" t="s">
        <v>93</v>
      </c>
      <c r="D36" s="82"/>
      <c r="E36" s="83">
        <v>3.0</v>
      </c>
      <c r="F36" s="84">
        <v>4.0</v>
      </c>
      <c r="G36" s="84"/>
      <c r="H36" s="85"/>
      <c r="I36" s="85"/>
      <c r="J36" s="86">
        <v>11.0</v>
      </c>
      <c r="K36" s="86">
        <v>8.0</v>
      </c>
      <c r="L36" s="87"/>
      <c r="M36" s="87"/>
      <c r="N36" s="87"/>
      <c r="O36" s="88">
        <v>2.0</v>
      </c>
      <c r="P36" s="89">
        <v>1.0</v>
      </c>
      <c r="Q36" s="89">
        <v>6.5</v>
      </c>
      <c r="R36" s="89">
        <v>3.0</v>
      </c>
      <c r="S36" s="89"/>
      <c r="T36" s="90">
        <v>1.0</v>
      </c>
      <c r="U36" s="90">
        <v>1.0</v>
      </c>
      <c r="V36" s="90">
        <v>3.0</v>
      </c>
      <c r="W36" s="90">
        <v>3.0</v>
      </c>
      <c r="X36" s="90"/>
      <c r="Y36" s="14"/>
      <c r="AE36" s="15"/>
      <c r="AF36" s="29"/>
    </row>
    <row r="37" ht="15.0" customHeight="1">
      <c r="A37" s="65">
        <v>27.0</v>
      </c>
      <c r="B37" s="80" t="s">
        <v>94</v>
      </c>
      <c r="C37" s="81" t="s">
        <v>95</v>
      </c>
      <c r="D37" s="82"/>
      <c r="E37" s="83">
        <v>5.0</v>
      </c>
      <c r="F37" s="84">
        <v>6.5</v>
      </c>
      <c r="G37" s="84"/>
      <c r="H37" s="85"/>
      <c r="I37" s="85"/>
      <c r="J37" s="86">
        <v>14.0</v>
      </c>
      <c r="K37" s="86">
        <v>9.0</v>
      </c>
      <c r="L37" s="87"/>
      <c r="M37" s="87"/>
      <c r="N37" s="87"/>
      <c r="O37" s="88">
        <v>3.0</v>
      </c>
      <c r="P37" s="89">
        <v>2.0</v>
      </c>
      <c r="Q37" s="89">
        <v>8.5</v>
      </c>
      <c r="R37" s="89">
        <v>4.0</v>
      </c>
      <c r="S37" s="89"/>
      <c r="T37" s="90">
        <v>2.0</v>
      </c>
      <c r="U37" s="90">
        <v>3.0</v>
      </c>
      <c r="V37" s="90">
        <v>6.0</v>
      </c>
      <c r="W37" s="90">
        <v>7.5</v>
      </c>
      <c r="X37" s="90"/>
      <c r="Y37" s="14"/>
      <c r="AE37" s="15"/>
      <c r="AF37" s="29"/>
    </row>
    <row r="38" ht="15.0" customHeight="1">
      <c r="A38" s="79">
        <v>28.0</v>
      </c>
      <c r="B38" s="80" t="s">
        <v>96</v>
      </c>
      <c r="C38" s="81" t="s">
        <v>97</v>
      </c>
      <c r="D38" s="82"/>
      <c r="E38" s="83">
        <v>6.0</v>
      </c>
      <c r="F38" s="84">
        <v>9.5</v>
      </c>
      <c r="G38" s="84"/>
      <c r="H38" s="85"/>
      <c r="I38" s="85"/>
      <c r="J38" s="86">
        <v>15.0</v>
      </c>
      <c r="K38" s="86">
        <v>10.0</v>
      </c>
      <c r="L38" s="87"/>
      <c r="M38" s="87"/>
      <c r="N38" s="87"/>
      <c r="O38" s="88">
        <v>3.0</v>
      </c>
      <c r="P38" s="89">
        <v>2.0</v>
      </c>
      <c r="Q38" s="89">
        <v>8.5</v>
      </c>
      <c r="R38" s="89">
        <v>4.0</v>
      </c>
      <c r="S38" s="89"/>
      <c r="T38" s="90">
        <v>1.0</v>
      </c>
      <c r="U38" s="90">
        <v>2.0</v>
      </c>
      <c r="V38" s="90">
        <v>4.0</v>
      </c>
      <c r="W38" s="90">
        <v>6.0</v>
      </c>
      <c r="X38" s="90"/>
      <c r="Y38" s="14"/>
      <c r="AE38" s="15"/>
      <c r="AF38" s="29"/>
    </row>
    <row r="39" ht="15.0" customHeight="1">
      <c r="A39" s="65">
        <v>29.0</v>
      </c>
      <c r="B39" s="80" t="s">
        <v>98</v>
      </c>
      <c r="C39" s="81" t="s">
        <v>99</v>
      </c>
      <c r="D39" s="82"/>
      <c r="E39" s="83">
        <v>6.0</v>
      </c>
      <c r="F39" s="84">
        <v>8.0</v>
      </c>
      <c r="G39" s="84"/>
      <c r="H39" s="85"/>
      <c r="I39" s="85"/>
      <c r="J39" s="86">
        <v>15.0</v>
      </c>
      <c r="K39" s="86">
        <v>10.0</v>
      </c>
      <c r="L39" s="87"/>
      <c r="M39" s="87"/>
      <c r="N39" s="87"/>
      <c r="O39" s="88">
        <v>2.0</v>
      </c>
      <c r="P39" s="89">
        <v>2.0</v>
      </c>
      <c r="Q39" s="89">
        <v>8.5</v>
      </c>
      <c r="R39" s="89">
        <v>4.0</v>
      </c>
      <c r="S39" s="89"/>
      <c r="T39" s="90">
        <v>2.0</v>
      </c>
      <c r="U39" s="90">
        <v>4.0</v>
      </c>
      <c r="V39" s="90">
        <v>8.0</v>
      </c>
      <c r="W39" s="90">
        <v>8.5</v>
      </c>
      <c r="X39" s="90"/>
      <c r="Y39" s="14"/>
      <c r="AE39" s="15"/>
      <c r="AF39" s="29"/>
    </row>
    <row r="40" ht="15.0" customHeight="1">
      <c r="A40" s="79">
        <v>30.0</v>
      </c>
      <c r="B40" s="80" t="s">
        <v>100</v>
      </c>
      <c r="C40" s="81" t="s">
        <v>101</v>
      </c>
      <c r="D40" s="82"/>
      <c r="E40" s="83">
        <v>4.0</v>
      </c>
      <c r="F40" s="84">
        <v>5.0</v>
      </c>
      <c r="G40" s="84"/>
      <c r="H40" s="85"/>
      <c r="I40" s="85"/>
      <c r="J40" s="86">
        <v>9.0</v>
      </c>
      <c r="K40" s="86">
        <v>6.0</v>
      </c>
      <c r="L40" s="87"/>
      <c r="M40" s="87"/>
      <c r="N40" s="87"/>
      <c r="O40" s="88">
        <v>2.0</v>
      </c>
      <c r="P40" s="89">
        <v>1.0</v>
      </c>
      <c r="Q40" s="89">
        <v>6.5</v>
      </c>
      <c r="R40" s="89">
        <v>3.0</v>
      </c>
      <c r="S40" s="89"/>
      <c r="T40" s="90">
        <v>1.0</v>
      </c>
      <c r="U40" s="90">
        <v>2.0</v>
      </c>
      <c r="V40" s="90">
        <v>4.0</v>
      </c>
      <c r="W40" s="90">
        <v>6.0</v>
      </c>
      <c r="X40" s="90"/>
      <c r="Y40" s="14"/>
      <c r="AE40" s="15"/>
      <c r="AF40" s="29"/>
    </row>
    <row r="41" ht="15.0" customHeight="1">
      <c r="A41" s="65">
        <v>31.0</v>
      </c>
      <c r="B41" s="80" t="s">
        <v>102</v>
      </c>
      <c r="C41" s="81" t="s">
        <v>103</v>
      </c>
      <c r="D41" s="82"/>
      <c r="E41" s="83">
        <v>5.0</v>
      </c>
      <c r="F41" s="84">
        <v>8.5</v>
      </c>
      <c r="G41" s="84"/>
      <c r="H41" s="85"/>
      <c r="I41" s="85"/>
      <c r="J41" s="86">
        <v>11.0</v>
      </c>
      <c r="K41" s="86">
        <v>8.0</v>
      </c>
      <c r="L41" s="87"/>
      <c r="M41" s="87"/>
      <c r="N41" s="87"/>
      <c r="O41" s="88">
        <v>3.0</v>
      </c>
      <c r="P41" s="89">
        <v>2.0</v>
      </c>
      <c r="Q41" s="89">
        <v>8.5</v>
      </c>
      <c r="R41" s="89">
        <v>4.0</v>
      </c>
      <c r="S41" s="89"/>
      <c r="T41" s="90">
        <v>1.0</v>
      </c>
      <c r="U41" s="90">
        <v>3.0</v>
      </c>
      <c r="V41" s="90">
        <v>5.0</v>
      </c>
      <c r="W41" s="90">
        <v>6.0</v>
      </c>
      <c r="X41" s="90"/>
      <c r="Y41" s="14"/>
      <c r="AE41" s="15"/>
      <c r="AF41" s="29"/>
    </row>
    <row r="42" ht="15.0" customHeight="1">
      <c r="A42" s="79">
        <v>32.0</v>
      </c>
      <c r="B42" s="80" t="s">
        <v>104</v>
      </c>
      <c r="C42" s="81" t="s">
        <v>105</v>
      </c>
      <c r="D42" s="82"/>
      <c r="E42" s="83">
        <v>5.0</v>
      </c>
      <c r="F42" s="84">
        <v>7.0</v>
      </c>
      <c r="G42" s="84"/>
      <c r="H42" s="85"/>
      <c r="I42" s="85"/>
      <c r="J42" s="86">
        <v>13.0</v>
      </c>
      <c r="K42" s="86">
        <v>8.0</v>
      </c>
      <c r="L42" s="87"/>
      <c r="M42" s="87"/>
      <c r="N42" s="87"/>
      <c r="O42" s="88">
        <v>2.0</v>
      </c>
      <c r="P42" s="89">
        <v>1.0</v>
      </c>
      <c r="Q42" s="89">
        <v>7.0</v>
      </c>
      <c r="R42" s="89">
        <v>3.0</v>
      </c>
      <c r="S42" s="89"/>
      <c r="T42" s="90">
        <v>1.0</v>
      </c>
      <c r="U42" s="90">
        <v>2.0</v>
      </c>
      <c r="V42" s="90">
        <v>4.0</v>
      </c>
      <c r="W42" s="90">
        <v>6.0</v>
      </c>
      <c r="X42" s="90"/>
      <c r="Y42" s="14"/>
      <c r="AE42" s="15"/>
      <c r="AF42" s="29"/>
    </row>
    <row r="43" ht="15.0" customHeight="1">
      <c r="A43" s="65">
        <v>33.0</v>
      </c>
      <c r="B43" s="80" t="s">
        <v>106</v>
      </c>
      <c r="C43" s="81" t="s">
        <v>107</v>
      </c>
      <c r="D43" s="82"/>
      <c r="E43" s="83">
        <v>1.0</v>
      </c>
      <c r="F43" s="84">
        <v>1.5</v>
      </c>
      <c r="G43" s="84"/>
      <c r="H43" s="85"/>
      <c r="I43" s="85"/>
      <c r="J43" s="86">
        <v>11.0</v>
      </c>
      <c r="K43" s="86">
        <v>8.0</v>
      </c>
      <c r="L43" s="87"/>
      <c r="M43" s="87"/>
      <c r="N43" s="87"/>
      <c r="O43" s="88">
        <v>2.0</v>
      </c>
      <c r="P43" s="89">
        <v>2.0</v>
      </c>
      <c r="Q43" s="89">
        <v>7.0</v>
      </c>
      <c r="R43" s="89">
        <v>4.0</v>
      </c>
      <c r="S43" s="89"/>
      <c r="T43" s="90">
        <v>1.0</v>
      </c>
      <c r="U43" s="90">
        <v>2.0</v>
      </c>
      <c r="V43" s="90">
        <v>3.0</v>
      </c>
      <c r="W43" s="90">
        <v>3.0</v>
      </c>
      <c r="X43" s="90"/>
      <c r="Y43" s="14"/>
      <c r="AE43" s="15"/>
      <c r="AF43" s="29"/>
    </row>
    <row r="44" ht="15.0" customHeight="1">
      <c r="A44" s="79">
        <v>34.0</v>
      </c>
      <c r="B44" s="80" t="s">
        <v>108</v>
      </c>
      <c r="C44" s="81" t="s">
        <v>109</v>
      </c>
      <c r="D44" s="82"/>
      <c r="E44" s="83">
        <v>8.0</v>
      </c>
      <c r="F44" s="84">
        <v>13.0</v>
      </c>
      <c r="G44" s="84"/>
      <c r="H44" s="85"/>
      <c r="I44" s="85"/>
      <c r="J44" s="86">
        <v>11.0</v>
      </c>
      <c r="K44" s="86">
        <v>8.0</v>
      </c>
      <c r="L44" s="87"/>
      <c r="M44" s="87"/>
      <c r="N44" s="87"/>
      <c r="O44" s="88">
        <v>5.0</v>
      </c>
      <c r="P44" s="89">
        <v>3.0</v>
      </c>
      <c r="Q44" s="89">
        <v>14.0</v>
      </c>
      <c r="R44" s="89">
        <v>8.0</v>
      </c>
      <c r="S44" s="89"/>
      <c r="T44" s="90">
        <v>2.0</v>
      </c>
      <c r="U44" s="90">
        <v>3.0</v>
      </c>
      <c r="V44" s="90">
        <v>7.0</v>
      </c>
      <c r="W44" s="90">
        <v>7.5</v>
      </c>
      <c r="X44" s="90"/>
      <c r="Y44" s="14"/>
      <c r="AE44" s="15"/>
      <c r="AF44" s="29"/>
    </row>
    <row r="45" ht="15.0" customHeight="1">
      <c r="A45" s="65">
        <v>35.0</v>
      </c>
      <c r="B45" s="80" t="s">
        <v>110</v>
      </c>
      <c r="C45" s="81" t="s">
        <v>111</v>
      </c>
      <c r="D45" s="82"/>
      <c r="E45" s="83">
        <v>7.0</v>
      </c>
      <c r="F45" s="84">
        <v>9.5</v>
      </c>
      <c r="G45" s="84"/>
      <c r="H45" s="85"/>
      <c r="I45" s="85"/>
      <c r="J45" s="86">
        <v>14.0</v>
      </c>
      <c r="K45" s="86">
        <v>9.0</v>
      </c>
      <c r="L45" s="87"/>
      <c r="M45" s="87"/>
      <c r="N45" s="87"/>
      <c r="O45" s="88">
        <v>3.0</v>
      </c>
      <c r="P45" s="89">
        <v>2.0</v>
      </c>
      <c r="Q45" s="89">
        <v>9.5</v>
      </c>
      <c r="R45" s="89">
        <v>5.0</v>
      </c>
      <c r="S45" s="89"/>
      <c r="T45" s="90">
        <v>2.0</v>
      </c>
      <c r="U45" s="90">
        <v>3.0</v>
      </c>
      <c r="V45" s="90">
        <v>7.0</v>
      </c>
      <c r="W45" s="90">
        <v>8.5</v>
      </c>
      <c r="X45" s="90"/>
      <c r="Y45" s="14"/>
      <c r="AE45" s="15"/>
      <c r="AF45" s="29"/>
    </row>
    <row r="46" ht="15.0" customHeight="1">
      <c r="A46" s="79">
        <v>36.0</v>
      </c>
      <c r="B46" s="80" t="s">
        <v>112</v>
      </c>
      <c r="C46" s="81" t="s">
        <v>113</v>
      </c>
      <c r="D46" s="82"/>
      <c r="E46" s="83">
        <v>6.0</v>
      </c>
      <c r="F46" s="84">
        <v>8.0</v>
      </c>
      <c r="G46" s="84"/>
      <c r="H46" s="85"/>
      <c r="I46" s="85"/>
      <c r="J46" s="86">
        <v>14.0</v>
      </c>
      <c r="K46" s="86">
        <v>9.0</v>
      </c>
      <c r="L46" s="87"/>
      <c r="M46" s="87"/>
      <c r="N46" s="87"/>
      <c r="O46" s="88">
        <v>3.0</v>
      </c>
      <c r="P46" s="89">
        <v>2.0</v>
      </c>
      <c r="Q46" s="89">
        <v>9.0</v>
      </c>
      <c r="R46" s="89">
        <v>5.0</v>
      </c>
      <c r="S46" s="89"/>
      <c r="T46" s="90">
        <v>2.0</v>
      </c>
      <c r="U46" s="90">
        <v>4.0</v>
      </c>
      <c r="V46" s="90">
        <v>7.0</v>
      </c>
      <c r="W46" s="90">
        <v>9.0</v>
      </c>
      <c r="X46" s="90"/>
      <c r="Y46" s="14"/>
      <c r="AE46" s="15"/>
      <c r="AF46" s="29"/>
    </row>
    <row r="47" ht="15.0" customHeight="1">
      <c r="A47" s="65">
        <v>37.0</v>
      </c>
      <c r="B47" s="80" t="s">
        <v>114</v>
      </c>
      <c r="C47" s="81" t="s">
        <v>115</v>
      </c>
      <c r="D47" s="82"/>
      <c r="E47" s="83">
        <v>9.0</v>
      </c>
      <c r="F47" s="84">
        <v>12.5</v>
      </c>
      <c r="G47" s="84"/>
      <c r="H47" s="85"/>
      <c r="I47" s="85"/>
      <c r="J47" s="86">
        <v>13.0</v>
      </c>
      <c r="K47" s="86">
        <v>8.0</v>
      </c>
      <c r="L47" s="87"/>
      <c r="M47" s="87"/>
      <c r="N47" s="87"/>
      <c r="O47" s="88">
        <v>3.0</v>
      </c>
      <c r="P47" s="89">
        <v>2.0</v>
      </c>
      <c r="Q47" s="89">
        <v>10.0</v>
      </c>
      <c r="R47" s="89">
        <v>5.0</v>
      </c>
      <c r="S47" s="89"/>
      <c r="T47" s="90">
        <v>1.0</v>
      </c>
      <c r="U47" s="90">
        <v>2.0</v>
      </c>
      <c r="V47" s="90">
        <v>5.0</v>
      </c>
      <c r="W47" s="90">
        <v>6.5</v>
      </c>
      <c r="X47" s="90"/>
      <c r="Y47" s="14"/>
      <c r="AE47" s="15"/>
      <c r="AF47" s="29"/>
    </row>
    <row r="48" ht="15.0" customHeight="1">
      <c r="A48" s="79">
        <v>38.0</v>
      </c>
      <c r="B48" s="80" t="s">
        <v>116</v>
      </c>
      <c r="C48" s="81" t="s">
        <v>117</v>
      </c>
      <c r="D48" s="82"/>
      <c r="E48" s="83">
        <v>7.0</v>
      </c>
      <c r="F48" s="84">
        <v>11.5</v>
      </c>
      <c r="G48" s="84"/>
      <c r="H48" s="85"/>
      <c r="I48" s="85"/>
      <c r="J48" s="86">
        <v>9.0</v>
      </c>
      <c r="K48" s="86">
        <v>6.0</v>
      </c>
      <c r="L48" s="87"/>
      <c r="M48" s="87"/>
      <c r="N48" s="87"/>
      <c r="O48" s="88">
        <v>4.0</v>
      </c>
      <c r="P48" s="89">
        <v>3.0</v>
      </c>
      <c r="Q48" s="89">
        <v>13.5</v>
      </c>
      <c r="R48" s="89">
        <v>7.0</v>
      </c>
      <c r="S48" s="89"/>
      <c r="T48" s="90">
        <v>3.0</v>
      </c>
      <c r="U48" s="90">
        <v>6.0</v>
      </c>
      <c r="V48" s="90">
        <v>11.0</v>
      </c>
      <c r="W48" s="90">
        <v>14.0</v>
      </c>
      <c r="X48" s="90"/>
      <c r="Y48" s="14"/>
      <c r="AE48" s="15"/>
      <c r="AF48" s="29"/>
    </row>
    <row r="49" ht="15.0" customHeight="1">
      <c r="A49" s="65">
        <v>39.0</v>
      </c>
      <c r="B49" s="80" t="s">
        <v>118</v>
      </c>
      <c r="C49" s="81" t="s">
        <v>119</v>
      </c>
      <c r="D49" s="82"/>
      <c r="E49" s="83">
        <v>6.0</v>
      </c>
      <c r="F49" s="84">
        <v>9.0</v>
      </c>
      <c r="G49" s="84"/>
      <c r="H49" s="85"/>
      <c r="I49" s="85"/>
      <c r="J49" s="86">
        <v>11.0</v>
      </c>
      <c r="K49" s="86">
        <v>8.0</v>
      </c>
      <c r="L49" s="87"/>
      <c r="M49" s="87"/>
      <c r="N49" s="87"/>
      <c r="O49" s="88">
        <v>2.0</v>
      </c>
      <c r="P49" s="89">
        <v>1.0</v>
      </c>
      <c r="Q49" s="89">
        <v>7.0</v>
      </c>
      <c r="R49" s="89">
        <v>4.0</v>
      </c>
      <c r="S49" s="89"/>
      <c r="T49" s="90">
        <v>1.0</v>
      </c>
      <c r="U49" s="90">
        <v>2.0</v>
      </c>
      <c r="V49" s="90">
        <v>4.0</v>
      </c>
      <c r="W49" s="90">
        <v>5.0</v>
      </c>
      <c r="X49" s="90"/>
      <c r="Y49" s="14"/>
      <c r="AE49" s="15"/>
      <c r="AF49" s="29"/>
    </row>
    <row r="50" ht="15.0" customHeight="1">
      <c r="A50" s="79">
        <v>40.0</v>
      </c>
      <c r="B50" s="80" t="s">
        <v>120</v>
      </c>
      <c r="C50" s="81" t="s">
        <v>121</v>
      </c>
      <c r="D50" s="82"/>
      <c r="E50" s="83">
        <v>8.0</v>
      </c>
      <c r="F50" s="84">
        <v>12.0</v>
      </c>
      <c r="G50" s="84"/>
      <c r="H50" s="85"/>
      <c r="I50" s="85"/>
      <c r="J50" s="86">
        <v>15.0</v>
      </c>
      <c r="K50" s="86">
        <v>10.0</v>
      </c>
      <c r="L50" s="87"/>
      <c r="M50" s="87"/>
      <c r="N50" s="87"/>
      <c r="O50" s="88">
        <v>3.0</v>
      </c>
      <c r="P50" s="89">
        <v>2.0</v>
      </c>
      <c r="Q50" s="89">
        <v>11.0</v>
      </c>
      <c r="R50" s="89">
        <v>6.0</v>
      </c>
      <c r="S50" s="89"/>
      <c r="T50" s="90">
        <v>2.0</v>
      </c>
      <c r="U50" s="90">
        <v>4.0</v>
      </c>
      <c r="V50" s="90">
        <v>8.0</v>
      </c>
      <c r="W50" s="90">
        <v>9.5</v>
      </c>
      <c r="X50" s="90"/>
      <c r="Y50" s="14"/>
      <c r="AE50" s="15"/>
      <c r="AF50" s="29"/>
    </row>
    <row r="51" ht="15.0" customHeight="1">
      <c r="A51" s="65">
        <v>41.0</v>
      </c>
      <c r="B51" s="80" t="s">
        <v>122</v>
      </c>
      <c r="C51" s="81" t="s">
        <v>123</v>
      </c>
      <c r="D51" s="82"/>
      <c r="E51" s="83">
        <v>5.0</v>
      </c>
      <c r="F51" s="84">
        <v>7.5</v>
      </c>
      <c r="G51" s="84"/>
      <c r="H51" s="85"/>
      <c r="I51" s="85"/>
      <c r="J51" s="86">
        <v>9.0</v>
      </c>
      <c r="K51" s="86">
        <v>6.0</v>
      </c>
      <c r="L51" s="87"/>
      <c r="M51" s="87"/>
      <c r="N51" s="87"/>
      <c r="O51" s="88">
        <v>3.0</v>
      </c>
      <c r="P51" s="89">
        <v>2.0</v>
      </c>
      <c r="Q51" s="89">
        <v>9.0</v>
      </c>
      <c r="R51" s="89">
        <v>5.0</v>
      </c>
      <c r="S51" s="89"/>
      <c r="T51" s="90">
        <v>1.0</v>
      </c>
      <c r="U51" s="90">
        <v>1.0</v>
      </c>
      <c r="V51" s="90">
        <v>2.0</v>
      </c>
      <c r="W51" s="90">
        <v>2.0</v>
      </c>
      <c r="X51" s="90"/>
      <c r="Y51" s="14"/>
      <c r="AE51" s="15"/>
      <c r="AF51" s="29"/>
    </row>
    <row r="52" ht="15.0" customHeight="1">
      <c r="A52" s="79">
        <v>42.0</v>
      </c>
      <c r="B52" s="80" t="s">
        <v>124</v>
      </c>
      <c r="C52" s="81" t="s">
        <v>125</v>
      </c>
      <c r="D52" s="82"/>
      <c r="E52" s="83">
        <v>7.0</v>
      </c>
      <c r="F52" s="84">
        <v>10.5</v>
      </c>
      <c r="G52" s="84"/>
      <c r="H52" s="85"/>
      <c r="I52" s="85"/>
      <c r="J52" s="86">
        <v>15.0</v>
      </c>
      <c r="K52" s="86">
        <v>10.0</v>
      </c>
      <c r="L52" s="87"/>
      <c r="M52" s="87"/>
      <c r="N52" s="87"/>
      <c r="O52" s="88">
        <v>2.0</v>
      </c>
      <c r="P52" s="89">
        <v>2.0</v>
      </c>
      <c r="Q52" s="89">
        <v>8.5</v>
      </c>
      <c r="R52" s="89">
        <v>4.0</v>
      </c>
      <c r="S52" s="89"/>
      <c r="T52" s="90">
        <v>2.0</v>
      </c>
      <c r="U52" s="90">
        <v>4.0</v>
      </c>
      <c r="V52" s="90">
        <v>8.0</v>
      </c>
      <c r="W52" s="90">
        <v>9.0</v>
      </c>
      <c r="X52" s="90"/>
      <c r="Y52" s="14"/>
      <c r="AE52" s="15"/>
      <c r="AF52" s="29"/>
    </row>
    <row r="53" ht="15.0" customHeight="1">
      <c r="A53" s="65">
        <v>43.0</v>
      </c>
      <c r="B53" s="80" t="s">
        <v>126</v>
      </c>
      <c r="C53" s="81" t="s">
        <v>127</v>
      </c>
      <c r="D53" s="82"/>
      <c r="E53" s="83">
        <v>7.0</v>
      </c>
      <c r="F53" s="84">
        <v>10.0</v>
      </c>
      <c r="G53" s="84"/>
      <c r="H53" s="85"/>
      <c r="I53" s="85"/>
      <c r="J53" s="86">
        <v>11.0</v>
      </c>
      <c r="K53" s="86">
        <v>8.0</v>
      </c>
      <c r="L53" s="87"/>
      <c r="M53" s="87"/>
      <c r="N53" s="87"/>
      <c r="O53" s="88">
        <v>3.0</v>
      </c>
      <c r="P53" s="89">
        <v>2.0</v>
      </c>
      <c r="Q53" s="89">
        <v>8.0</v>
      </c>
      <c r="R53" s="89">
        <v>5.0</v>
      </c>
      <c r="S53" s="89"/>
      <c r="T53" s="90">
        <v>1.0</v>
      </c>
      <c r="U53" s="90">
        <v>3.0</v>
      </c>
      <c r="V53" s="90">
        <v>5.0</v>
      </c>
      <c r="W53" s="90">
        <v>6.5</v>
      </c>
      <c r="X53" s="90"/>
      <c r="Y53" s="14"/>
      <c r="AE53" s="15"/>
      <c r="AF53" s="29"/>
    </row>
    <row r="54" ht="15.0" customHeight="1">
      <c r="A54" s="79">
        <v>44.0</v>
      </c>
      <c r="B54" s="80" t="s">
        <v>128</v>
      </c>
      <c r="C54" s="81" t="s">
        <v>129</v>
      </c>
      <c r="D54" s="82"/>
      <c r="E54" s="83">
        <v>8.0</v>
      </c>
      <c r="F54" s="84">
        <v>11.0</v>
      </c>
      <c r="G54" s="84"/>
      <c r="H54" s="85"/>
      <c r="I54" s="85"/>
      <c r="J54" s="86">
        <v>15.0</v>
      </c>
      <c r="K54" s="86">
        <v>10.0</v>
      </c>
      <c r="L54" s="87"/>
      <c r="M54" s="87"/>
      <c r="N54" s="87"/>
      <c r="O54" s="88">
        <v>3.0</v>
      </c>
      <c r="P54" s="89">
        <v>2.0</v>
      </c>
      <c r="Q54" s="89">
        <v>11.0</v>
      </c>
      <c r="R54" s="89">
        <v>5.0</v>
      </c>
      <c r="S54" s="89"/>
      <c r="T54" s="90">
        <v>3.0</v>
      </c>
      <c r="U54" s="90">
        <v>5.0</v>
      </c>
      <c r="V54" s="90">
        <v>11.0</v>
      </c>
      <c r="W54" s="90">
        <v>13.0</v>
      </c>
      <c r="X54" s="90"/>
      <c r="Y54" s="14"/>
      <c r="AE54" s="15"/>
      <c r="AF54" s="29"/>
    </row>
    <row r="55" ht="15.0" customHeight="1">
      <c r="A55" s="65">
        <v>45.0</v>
      </c>
      <c r="B55" s="80" t="s">
        <v>130</v>
      </c>
      <c r="C55" s="81" t="s">
        <v>131</v>
      </c>
      <c r="D55" s="82"/>
      <c r="E55" s="83">
        <v>8.0</v>
      </c>
      <c r="F55" s="84">
        <v>11.0</v>
      </c>
      <c r="G55" s="84"/>
      <c r="H55" s="85"/>
      <c r="I55" s="85"/>
      <c r="J55" s="86">
        <v>15.0</v>
      </c>
      <c r="K55" s="86">
        <v>10.0</v>
      </c>
      <c r="L55" s="87"/>
      <c r="M55" s="87"/>
      <c r="N55" s="87"/>
      <c r="O55" s="88">
        <v>3.0</v>
      </c>
      <c r="P55" s="89">
        <v>2.0</v>
      </c>
      <c r="Q55" s="89">
        <v>11.0</v>
      </c>
      <c r="R55" s="89">
        <v>5.0</v>
      </c>
      <c r="S55" s="89"/>
      <c r="T55" s="90">
        <v>2.0</v>
      </c>
      <c r="U55" s="90">
        <v>4.0</v>
      </c>
      <c r="V55" s="90">
        <v>9.0</v>
      </c>
      <c r="W55" s="90">
        <v>11.0</v>
      </c>
      <c r="X55" s="90"/>
      <c r="Y55" s="14"/>
      <c r="AE55" s="15"/>
      <c r="AF55" s="29"/>
    </row>
    <row r="56" ht="15.0" customHeight="1">
      <c r="A56" s="79">
        <v>46.0</v>
      </c>
      <c r="B56" s="80" t="s">
        <v>132</v>
      </c>
      <c r="C56" s="81" t="s">
        <v>133</v>
      </c>
      <c r="D56" s="82"/>
      <c r="E56" s="83">
        <v>5.0</v>
      </c>
      <c r="F56" s="84">
        <v>6.5</v>
      </c>
      <c r="G56" s="84"/>
      <c r="H56" s="85"/>
      <c r="I56" s="85"/>
      <c r="J56" s="86">
        <v>15.0</v>
      </c>
      <c r="K56" s="86">
        <v>10.0</v>
      </c>
      <c r="L56" s="87"/>
      <c r="M56" s="87"/>
      <c r="N56" s="87"/>
      <c r="O56" s="88">
        <v>3.0</v>
      </c>
      <c r="P56" s="89">
        <v>2.0</v>
      </c>
      <c r="Q56" s="89">
        <v>12.0</v>
      </c>
      <c r="R56" s="89">
        <v>6.0</v>
      </c>
      <c r="S56" s="89"/>
      <c r="T56" s="90">
        <v>1.0</v>
      </c>
      <c r="U56" s="90">
        <v>1.0</v>
      </c>
      <c r="V56" s="90">
        <v>2.0</v>
      </c>
      <c r="W56" s="90">
        <v>2.5</v>
      </c>
      <c r="X56" s="90"/>
      <c r="Y56" s="14"/>
      <c r="AE56" s="15"/>
      <c r="AF56" s="29"/>
    </row>
    <row r="57" ht="15.0" customHeight="1">
      <c r="A57" s="65">
        <v>47.0</v>
      </c>
      <c r="B57" s="80" t="s">
        <v>134</v>
      </c>
      <c r="C57" s="81" t="s">
        <v>135</v>
      </c>
      <c r="D57" s="82"/>
      <c r="E57" s="83">
        <v>7.0</v>
      </c>
      <c r="F57" s="84">
        <v>11.5</v>
      </c>
      <c r="G57" s="84"/>
      <c r="H57" s="85"/>
      <c r="I57" s="85"/>
      <c r="J57" s="86">
        <v>9.0</v>
      </c>
      <c r="K57" s="86">
        <v>6.0</v>
      </c>
      <c r="L57" s="87"/>
      <c r="M57" s="87"/>
      <c r="N57" s="87"/>
      <c r="O57" s="88">
        <v>3.0</v>
      </c>
      <c r="P57" s="89">
        <v>2.0</v>
      </c>
      <c r="Q57" s="89">
        <v>8.0</v>
      </c>
      <c r="R57" s="89">
        <v>4.0</v>
      </c>
      <c r="S57" s="89"/>
      <c r="T57" s="90">
        <v>1.0</v>
      </c>
      <c r="U57" s="90">
        <v>2.0</v>
      </c>
      <c r="V57" s="90">
        <v>3.0</v>
      </c>
      <c r="W57" s="90">
        <v>4.0</v>
      </c>
      <c r="X57" s="90"/>
      <c r="Y57" s="14"/>
      <c r="AE57" s="15"/>
      <c r="AF57" s="29"/>
    </row>
    <row r="58" ht="15.0" customHeight="1">
      <c r="A58" s="79">
        <v>48.0</v>
      </c>
      <c r="B58" s="80" t="s">
        <v>136</v>
      </c>
      <c r="C58" s="81" t="s">
        <v>137</v>
      </c>
      <c r="D58" s="82"/>
      <c r="E58" s="83">
        <v>6.0</v>
      </c>
      <c r="F58" s="84">
        <v>9.5</v>
      </c>
      <c r="G58" s="84"/>
      <c r="H58" s="85"/>
      <c r="I58" s="85"/>
      <c r="J58" s="86">
        <v>11.0</v>
      </c>
      <c r="K58" s="86">
        <v>8.0</v>
      </c>
      <c r="L58" s="87"/>
      <c r="M58" s="87"/>
      <c r="N58" s="87"/>
      <c r="O58" s="88">
        <v>3.0</v>
      </c>
      <c r="P58" s="89">
        <v>2.0</v>
      </c>
      <c r="Q58" s="89">
        <v>10.0</v>
      </c>
      <c r="R58" s="89">
        <v>5.0</v>
      </c>
      <c r="S58" s="89"/>
      <c r="T58" s="90">
        <v>3.0</v>
      </c>
      <c r="U58" s="90">
        <v>5.0</v>
      </c>
      <c r="V58" s="90">
        <v>10.0</v>
      </c>
      <c r="W58" s="90">
        <v>12.5</v>
      </c>
      <c r="X58" s="90"/>
      <c r="Y58" s="14"/>
      <c r="AE58" s="15"/>
      <c r="AF58" s="29"/>
    </row>
    <row r="59" ht="15.0" customHeight="1">
      <c r="A59" s="65">
        <v>49.0</v>
      </c>
      <c r="B59" s="80" t="s">
        <v>138</v>
      </c>
      <c r="C59" s="81" t="s">
        <v>139</v>
      </c>
      <c r="D59" s="82"/>
      <c r="E59" s="83">
        <v>6.0</v>
      </c>
      <c r="F59" s="84">
        <v>9.5</v>
      </c>
      <c r="G59" s="84"/>
      <c r="H59" s="85"/>
      <c r="I59" s="85"/>
      <c r="J59" s="86">
        <v>9.0</v>
      </c>
      <c r="K59" s="86">
        <v>6.0</v>
      </c>
      <c r="L59" s="87"/>
      <c r="M59" s="87"/>
      <c r="N59" s="87"/>
      <c r="O59" s="88">
        <v>2.0</v>
      </c>
      <c r="P59" s="89">
        <v>2.0</v>
      </c>
      <c r="Q59" s="89">
        <v>8.0</v>
      </c>
      <c r="R59" s="89">
        <v>4.0</v>
      </c>
      <c r="S59" s="89"/>
      <c r="T59" s="90">
        <v>1.0</v>
      </c>
      <c r="U59" s="90">
        <v>2.0</v>
      </c>
      <c r="V59" s="90">
        <v>4.0</v>
      </c>
      <c r="W59" s="90">
        <v>3.5</v>
      </c>
      <c r="X59" s="90"/>
      <c r="Y59" s="14"/>
      <c r="AE59" s="15"/>
      <c r="AF59" s="29"/>
    </row>
    <row r="60" ht="15.0" customHeight="1">
      <c r="A60" s="79">
        <v>50.0</v>
      </c>
      <c r="B60" s="80" t="s">
        <v>140</v>
      </c>
      <c r="C60" s="81" t="s">
        <v>141</v>
      </c>
      <c r="D60" s="82"/>
      <c r="E60" s="83">
        <v>7.0</v>
      </c>
      <c r="F60" s="84">
        <v>10.0</v>
      </c>
      <c r="G60" s="84"/>
      <c r="H60" s="85"/>
      <c r="I60" s="85"/>
      <c r="J60" s="86">
        <v>15.0</v>
      </c>
      <c r="K60" s="86">
        <v>10.0</v>
      </c>
      <c r="L60" s="87"/>
      <c r="M60" s="87"/>
      <c r="N60" s="87"/>
      <c r="O60" s="88">
        <v>3.0</v>
      </c>
      <c r="P60" s="89">
        <v>2.0</v>
      </c>
      <c r="Q60" s="89">
        <v>9.0</v>
      </c>
      <c r="R60" s="89">
        <v>5.0</v>
      </c>
      <c r="S60" s="89"/>
      <c r="T60" s="90">
        <v>1.0</v>
      </c>
      <c r="U60" s="90">
        <v>2.0</v>
      </c>
      <c r="V60" s="90">
        <v>3.0</v>
      </c>
      <c r="W60" s="90">
        <v>3.0</v>
      </c>
      <c r="X60" s="90"/>
      <c r="Y60" s="14"/>
      <c r="AE60" s="15"/>
      <c r="AF60" s="29"/>
    </row>
    <row r="61" ht="15.0" customHeight="1">
      <c r="A61" s="65">
        <v>51.0</v>
      </c>
      <c r="B61" s="80" t="s">
        <v>142</v>
      </c>
      <c r="C61" s="81" t="s">
        <v>143</v>
      </c>
      <c r="D61" s="82"/>
      <c r="E61" s="83">
        <v>7.0</v>
      </c>
      <c r="F61" s="84">
        <v>11.5</v>
      </c>
      <c r="G61" s="84"/>
      <c r="H61" s="85"/>
      <c r="I61" s="85"/>
      <c r="J61" s="86">
        <v>14.0</v>
      </c>
      <c r="K61" s="86">
        <v>9.0</v>
      </c>
      <c r="L61" s="87"/>
      <c r="M61" s="87"/>
      <c r="N61" s="87"/>
      <c r="O61" s="88">
        <v>2.0</v>
      </c>
      <c r="P61" s="89">
        <v>2.0</v>
      </c>
      <c r="Q61" s="89">
        <v>8.5</v>
      </c>
      <c r="R61" s="89">
        <v>4.0</v>
      </c>
      <c r="S61" s="89"/>
      <c r="T61" s="90">
        <v>1.0</v>
      </c>
      <c r="U61" s="90">
        <v>2.0</v>
      </c>
      <c r="V61" s="90">
        <v>4.0</v>
      </c>
      <c r="W61" s="90">
        <v>6.0</v>
      </c>
      <c r="X61" s="90"/>
      <c r="Y61" s="14"/>
      <c r="AE61" s="15"/>
      <c r="AF61" s="29"/>
    </row>
    <row r="62" ht="15.0" customHeight="1">
      <c r="A62" s="79">
        <v>52.0</v>
      </c>
      <c r="B62" s="80" t="s">
        <v>144</v>
      </c>
      <c r="C62" s="81" t="s">
        <v>145</v>
      </c>
      <c r="D62" s="82"/>
      <c r="E62" s="83">
        <v>4.0</v>
      </c>
      <c r="F62" s="84">
        <v>5.0</v>
      </c>
      <c r="G62" s="84"/>
      <c r="H62" s="85"/>
      <c r="I62" s="85"/>
      <c r="J62" s="86">
        <v>15.0</v>
      </c>
      <c r="K62" s="86">
        <v>10.0</v>
      </c>
      <c r="L62" s="87"/>
      <c r="M62" s="87"/>
      <c r="N62" s="87"/>
      <c r="O62" s="88">
        <v>1.0</v>
      </c>
      <c r="P62" s="89">
        <v>1.0</v>
      </c>
      <c r="Q62" s="89">
        <v>4.5</v>
      </c>
      <c r="R62" s="89">
        <v>2.0</v>
      </c>
      <c r="S62" s="89"/>
      <c r="T62" s="90">
        <v>0.0</v>
      </c>
      <c r="U62" s="90">
        <v>1.0</v>
      </c>
      <c r="V62" s="90">
        <v>1.0</v>
      </c>
      <c r="W62" s="90">
        <v>1.0</v>
      </c>
      <c r="X62" s="90"/>
      <c r="Y62" s="14"/>
      <c r="AE62" s="15"/>
      <c r="AF62" s="29"/>
    </row>
    <row r="63" ht="15.0" customHeight="1">
      <c r="A63" s="65">
        <v>53.0</v>
      </c>
      <c r="B63" s="80" t="s">
        <v>146</v>
      </c>
      <c r="C63" s="81" t="s">
        <v>147</v>
      </c>
      <c r="D63" s="82"/>
      <c r="E63" s="83">
        <v>3.0</v>
      </c>
      <c r="F63" s="84">
        <v>5.0</v>
      </c>
      <c r="G63" s="84"/>
      <c r="H63" s="85"/>
      <c r="I63" s="85"/>
      <c r="J63" s="86">
        <v>13.0</v>
      </c>
      <c r="K63" s="86">
        <v>8.0</v>
      </c>
      <c r="L63" s="87"/>
      <c r="M63" s="87"/>
      <c r="N63" s="87"/>
      <c r="O63" s="88">
        <v>2.0</v>
      </c>
      <c r="P63" s="89">
        <v>1.0</v>
      </c>
      <c r="Q63" s="89">
        <v>7.5</v>
      </c>
      <c r="R63" s="89">
        <v>4.0</v>
      </c>
      <c r="S63" s="89"/>
      <c r="T63" s="90">
        <v>1.0</v>
      </c>
      <c r="U63" s="90">
        <v>2.0</v>
      </c>
      <c r="V63" s="90">
        <v>4.0</v>
      </c>
      <c r="W63" s="90">
        <v>4.5</v>
      </c>
      <c r="X63" s="90"/>
      <c r="Y63" s="14"/>
      <c r="AE63" s="15"/>
      <c r="AF63" s="29"/>
    </row>
    <row r="64" ht="15.0" customHeight="1">
      <c r="A64" s="79">
        <v>54.0</v>
      </c>
      <c r="B64" s="80" t="s">
        <v>148</v>
      </c>
      <c r="C64" s="81" t="s">
        <v>149</v>
      </c>
      <c r="D64" s="82"/>
      <c r="E64" s="83">
        <v>5.0</v>
      </c>
      <c r="F64" s="84">
        <v>8.5</v>
      </c>
      <c r="G64" s="84"/>
      <c r="H64" s="85"/>
      <c r="I64" s="85"/>
      <c r="J64" s="86">
        <v>15.0</v>
      </c>
      <c r="K64" s="86">
        <v>10.0</v>
      </c>
      <c r="L64" s="87"/>
      <c r="M64" s="87"/>
      <c r="N64" s="87"/>
      <c r="O64" s="88">
        <v>2.0</v>
      </c>
      <c r="P64" s="89">
        <v>2.0</v>
      </c>
      <c r="Q64" s="89">
        <v>8.0</v>
      </c>
      <c r="R64" s="89">
        <v>4.0</v>
      </c>
      <c r="S64" s="89"/>
      <c r="T64" s="90">
        <v>1.0</v>
      </c>
      <c r="U64" s="90">
        <v>3.0</v>
      </c>
      <c r="V64" s="90">
        <v>5.0</v>
      </c>
      <c r="W64" s="90">
        <v>6.5</v>
      </c>
      <c r="X64" s="90"/>
      <c r="Y64" s="14"/>
      <c r="AE64" s="15"/>
      <c r="AF64" s="29"/>
    </row>
    <row r="65" ht="15.0" customHeight="1">
      <c r="A65" s="65">
        <v>55.0</v>
      </c>
      <c r="B65" s="80" t="s">
        <v>150</v>
      </c>
      <c r="C65" s="81" t="s">
        <v>151</v>
      </c>
      <c r="D65" s="82"/>
      <c r="E65" s="83">
        <v>5.0</v>
      </c>
      <c r="F65" s="84">
        <v>8.5</v>
      </c>
      <c r="G65" s="84"/>
      <c r="H65" s="85"/>
      <c r="I65" s="85"/>
      <c r="J65" s="86">
        <v>14.0</v>
      </c>
      <c r="K65" s="86">
        <v>9.0</v>
      </c>
      <c r="L65" s="87"/>
      <c r="M65" s="87"/>
      <c r="N65" s="87"/>
      <c r="O65" s="88">
        <v>2.0</v>
      </c>
      <c r="P65" s="89">
        <v>1.0</v>
      </c>
      <c r="Q65" s="89">
        <v>7.5</v>
      </c>
      <c r="R65" s="89">
        <v>4.0</v>
      </c>
      <c r="S65" s="89"/>
      <c r="T65" s="90">
        <v>1.0</v>
      </c>
      <c r="U65" s="90">
        <v>3.0</v>
      </c>
      <c r="V65" s="90">
        <v>5.0</v>
      </c>
      <c r="W65" s="90">
        <v>6.0</v>
      </c>
      <c r="X65" s="90"/>
      <c r="Y65" s="14"/>
      <c r="AE65" s="15"/>
      <c r="AF65" s="29"/>
    </row>
    <row r="66" ht="15.0" customHeight="1">
      <c r="A66" s="79">
        <v>56.0</v>
      </c>
      <c r="B66" s="92"/>
      <c r="C66" s="93"/>
      <c r="D66" s="82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14"/>
      <c r="AE66" s="15"/>
      <c r="AF66" s="29"/>
    </row>
    <row r="67" ht="15.0" customHeight="1">
      <c r="A67" s="65">
        <v>57.0</v>
      </c>
      <c r="B67" s="92"/>
      <c r="C67" s="93"/>
      <c r="D67" s="82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14"/>
      <c r="AE67" s="15"/>
      <c r="AF67" s="29"/>
    </row>
    <row r="68" ht="15.0" customHeight="1">
      <c r="A68" s="79">
        <v>58.0</v>
      </c>
      <c r="B68" s="92"/>
      <c r="C68" s="93"/>
      <c r="D68" s="82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14"/>
      <c r="AE68" s="15"/>
      <c r="AF68" s="29"/>
    </row>
    <row r="69" ht="15.0" customHeight="1">
      <c r="A69" s="65">
        <v>59.0</v>
      </c>
      <c r="B69" s="92"/>
      <c r="C69" s="93"/>
      <c r="D69" s="82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14"/>
      <c r="AE69" s="15"/>
      <c r="AF69" s="29"/>
    </row>
    <row r="70" ht="15.0" customHeight="1">
      <c r="A70" s="79">
        <v>60.0</v>
      </c>
      <c r="B70" s="92"/>
      <c r="C70" s="93"/>
      <c r="D70" s="82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14"/>
      <c r="AE70" s="15"/>
      <c r="AF70" s="29"/>
    </row>
    <row r="71" ht="15.0" customHeight="1">
      <c r="A71" s="65">
        <v>61.0</v>
      </c>
      <c r="B71" s="92"/>
      <c r="C71" s="93"/>
      <c r="D71" s="82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14"/>
      <c r="AE71" s="15"/>
      <c r="AF71" s="29"/>
    </row>
    <row r="72" ht="15.0" customHeight="1">
      <c r="A72" s="79">
        <v>70.0</v>
      </c>
      <c r="B72" s="92"/>
      <c r="C72" s="93"/>
      <c r="D72" s="82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14"/>
      <c r="AE72" s="15"/>
      <c r="AF72" s="29"/>
    </row>
    <row r="73" ht="15.0" customHeight="1">
      <c r="A73" s="65">
        <v>71.0</v>
      </c>
      <c r="B73" s="92"/>
      <c r="C73" s="93"/>
      <c r="D73" s="82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14"/>
      <c r="AE73" s="15"/>
      <c r="AF73" s="29"/>
    </row>
    <row r="74" ht="15.0" customHeight="1">
      <c r="A74" s="79">
        <v>72.0</v>
      </c>
      <c r="B74" s="92"/>
      <c r="C74" s="93"/>
      <c r="D74" s="82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14"/>
      <c r="AE74" s="15"/>
      <c r="AF74" s="29"/>
    </row>
    <row r="75" ht="15.0" customHeight="1">
      <c r="A75" s="65">
        <v>73.0</v>
      </c>
      <c r="B75" s="92"/>
      <c r="C75" s="93"/>
      <c r="D75" s="82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14"/>
      <c r="AE75" s="15"/>
      <c r="AF75" s="29"/>
    </row>
    <row r="76" ht="15.0" customHeight="1">
      <c r="A76" s="79">
        <v>74.0</v>
      </c>
      <c r="B76" s="92"/>
      <c r="C76" s="93"/>
      <c r="D76" s="82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14"/>
      <c r="AE76" s="15"/>
      <c r="AF76" s="29"/>
    </row>
    <row r="77" ht="15.0" customHeight="1">
      <c r="A77" s="65">
        <v>75.0</v>
      </c>
      <c r="B77" s="92"/>
      <c r="C77" s="93"/>
      <c r="D77" s="82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14"/>
      <c r="AE77" s="15"/>
      <c r="AF77" s="29"/>
    </row>
    <row r="78" ht="15.0" customHeight="1">
      <c r="A78" s="79">
        <v>76.0</v>
      </c>
      <c r="B78" s="92"/>
      <c r="C78" s="93"/>
      <c r="D78" s="82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14"/>
      <c r="AE78" s="15"/>
      <c r="AF78" s="29"/>
    </row>
    <row r="79" ht="15.0" customHeight="1">
      <c r="A79" s="65">
        <v>77.0</v>
      </c>
      <c r="B79" s="92"/>
      <c r="C79" s="93"/>
      <c r="D79" s="82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14"/>
      <c r="AE79" s="15"/>
      <c r="AF79" s="29"/>
    </row>
    <row r="80" ht="15.0" customHeight="1">
      <c r="A80" s="79">
        <v>78.0</v>
      </c>
      <c r="B80" s="92"/>
      <c r="C80" s="93"/>
      <c r="D80" s="82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14"/>
      <c r="AE80" s="15"/>
      <c r="AF80" s="29"/>
    </row>
    <row r="81" ht="15.0" customHeight="1">
      <c r="A81" s="65">
        <v>79.0</v>
      </c>
      <c r="B81" s="92"/>
      <c r="C81" s="93"/>
      <c r="D81" s="82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14"/>
      <c r="AE81" s="15"/>
      <c r="AF81" s="29"/>
    </row>
    <row r="82" ht="15.0" customHeight="1">
      <c r="A82" s="79">
        <v>80.0</v>
      </c>
      <c r="B82" s="92"/>
      <c r="C82" s="93"/>
      <c r="D82" s="82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14"/>
      <c r="AE82" s="15"/>
      <c r="AF82" s="29"/>
    </row>
    <row r="83" ht="15.0" customHeight="1">
      <c r="A83" s="65">
        <v>81.0</v>
      </c>
      <c r="B83" s="92"/>
      <c r="C83" s="93"/>
      <c r="D83" s="82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14"/>
      <c r="AE83" s="15"/>
      <c r="AF83" s="29"/>
    </row>
    <row r="84" ht="15.0" customHeight="1">
      <c r="A84" s="79">
        <v>82.0</v>
      </c>
      <c r="B84" s="92"/>
      <c r="C84" s="93"/>
      <c r="D84" s="82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14"/>
      <c r="AE84" s="15"/>
      <c r="AF84" s="29"/>
    </row>
    <row r="85" ht="15.0" customHeight="1">
      <c r="A85" s="65">
        <v>83.0</v>
      </c>
      <c r="B85" s="92"/>
      <c r="C85" s="93"/>
      <c r="D85" s="82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14"/>
      <c r="AE85" s="15"/>
      <c r="AF85" s="29"/>
    </row>
    <row r="86" ht="15.0" customHeight="1">
      <c r="A86" s="79">
        <v>84.0</v>
      </c>
      <c r="B86" s="92"/>
      <c r="C86" s="93"/>
      <c r="D86" s="82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14"/>
      <c r="AE86" s="15"/>
      <c r="AF86" s="29"/>
    </row>
    <row r="87" ht="15.0" customHeight="1">
      <c r="A87" s="65">
        <v>85.0</v>
      </c>
      <c r="B87" s="92"/>
      <c r="C87" s="93"/>
      <c r="D87" s="82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14"/>
      <c r="AE87" s="15"/>
      <c r="AF87" s="29"/>
    </row>
    <row r="88" ht="15.0" customHeight="1">
      <c r="A88" s="79">
        <v>86.0</v>
      </c>
      <c r="B88" s="92"/>
      <c r="C88" s="93"/>
      <c r="D88" s="82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14"/>
      <c r="AE88" s="15"/>
      <c r="AF88" s="29"/>
    </row>
    <row r="89" ht="15.0" customHeight="1">
      <c r="A89" s="65">
        <v>87.0</v>
      </c>
      <c r="B89" s="92"/>
      <c r="C89" s="93"/>
      <c r="D89" s="82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14"/>
      <c r="AE89" s="15"/>
      <c r="AF89" s="29"/>
    </row>
    <row r="90" ht="15.0" customHeight="1">
      <c r="A90" s="79">
        <v>88.0</v>
      </c>
      <c r="B90" s="92"/>
      <c r="C90" s="93"/>
      <c r="D90" s="82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14"/>
      <c r="AE90" s="15"/>
      <c r="AF90" s="29"/>
    </row>
    <row r="91" ht="15.0" customHeight="1">
      <c r="A91" s="65">
        <v>89.0</v>
      </c>
      <c r="B91" s="92"/>
      <c r="C91" s="93"/>
      <c r="D91" s="82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14"/>
      <c r="AE91" s="15"/>
      <c r="AF91" s="29"/>
    </row>
    <row r="92" ht="15.0" customHeight="1">
      <c r="A92" s="79">
        <v>90.0</v>
      </c>
      <c r="B92" s="92"/>
      <c r="C92" s="93"/>
      <c r="D92" s="82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14"/>
      <c r="AE92" s="15"/>
      <c r="AF92" s="29"/>
    </row>
    <row r="93" ht="15.0" customHeight="1">
      <c r="A93" s="65">
        <v>91.0</v>
      </c>
      <c r="B93" s="92"/>
      <c r="C93" s="93"/>
      <c r="D93" s="82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14"/>
      <c r="AE93" s="15"/>
      <c r="AF93" s="29"/>
    </row>
    <row r="94" ht="15.0" customHeight="1">
      <c r="A94" s="79">
        <v>92.0</v>
      </c>
      <c r="B94" s="92"/>
      <c r="C94" s="93"/>
      <c r="D94" s="82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14"/>
      <c r="AE94" s="15"/>
      <c r="AF94" s="29"/>
    </row>
    <row r="95" ht="15.0" customHeight="1">
      <c r="A95" s="65">
        <v>93.0</v>
      </c>
      <c r="B95" s="92"/>
      <c r="C95" s="93"/>
      <c r="D95" s="82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14"/>
      <c r="AE95" s="15"/>
      <c r="AF95" s="29"/>
    </row>
    <row r="96" ht="15.0" customHeight="1">
      <c r="A96" s="79">
        <v>94.0</v>
      </c>
      <c r="B96" s="92"/>
      <c r="C96" s="93"/>
      <c r="D96" s="82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14"/>
      <c r="AE96" s="15"/>
      <c r="AF96" s="29"/>
    </row>
    <row r="97" ht="15.0" customHeight="1">
      <c r="A97" s="65">
        <v>95.0</v>
      </c>
      <c r="B97" s="92"/>
      <c r="C97" s="93"/>
      <c r="D97" s="82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14"/>
      <c r="AE97" s="15"/>
      <c r="AF97" s="29"/>
    </row>
    <row r="98" ht="15.0" customHeight="1">
      <c r="A98" s="79">
        <v>96.0</v>
      </c>
      <c r="B98" s="92"/>
      <c r="C98" s="93"/>
      <c r="D98" s="82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14"/>
      <c r="AE98" s="15"/>
      <c r="AF98" s="29"/>
    </row>
    <row r="99" ht="15.0" customHeight="1">
      <c r="A99" s="65">
        <v>97.0</v>
      </c>
      <c r="B99" s="92"/>
      <c r="C99" s="93"/>
      <c r="D99" s="82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14"/>
      <c r="AE99" s="15"/>
      <c r="AF99" s="29"/>
    </row>
    <row r="100" ht="15.0" customHeight="1">
      <c r="A100" s="79">
        <v>98.0</v>
      </c>
      <c r="B100" s="92"/>
      <c r="C100" s="93"/>
      <c r="D100" s="82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14"/>
      <c r="AE100" s="15"/>
      <c r="AF100" s="29"/>
    </row>
    <row r="101" ht="15.0" customHeight="1">
      <c r="A101" s="65">
        <v>99.0</v>
      </c>
      <c r="B101" s="92"/>
      <c r="C101" s="93"/>
      <c r="D101" s="82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14"/>
      <c r="AE101" s="15"/>
      <c r="AF101" s="29"/>
    </row>
    <row r="102" ht="15.0" customHeight="1">
      <c r="A102" s="79">
        <v>100.0</v>
      </c>
      <c r="B102" s="92"/>
      <c r="C102" s="93"/>
      <c r="D102" s="82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14"/>
      <c r="AE102" s="15"/>
      <c r="AF102" s="29"/>
    </row>
    <row r="103" ht="15.0" customHeight="1">
      <c r="A103" s="65">
        <v>101.0</v>
      </c>
      <c r="B103" s="92"/>
      <c r="C103" s="93"/>
      <c r="D103" s="82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14"/>
      <c r="AE103" s="15"/>
      <c r="AF103" s="29"/>
    </row>
    <row r="104" ht="15.0" customHeight="1">
      <c r="A104" s="79">
        <v>102.0</v>
      </c>
      <c r="B104" s="92"/>
      <c r="C104" s="93"/>
      <c r="D104" s="82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14"/>
      <c r="AE104" s="15"/>
      <c r="AF104" s="29"/>
    </row>
    <row r="105" ht="15.0" customHeight="1">
      <c r="A105" s="65">
        <v>103.0</v>
      </c>
      <c r="B105" s="92"/>
      <c r="C105" s="93"/>
      <c r="D105" s="82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14"/>
      <c r="AE105" s="15"/>
      <c r="AF105" s="29"/>
    </row>
    <row r="106" ht="15.0" customHeight="1">
      <c r="A106" s="79">
        <v>104.0</v>
      </c>
      <c r="B106" s="92"/>
      <c r="C106" s="93"/>
      <c r="D106" s="82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14"/>
      <c r="AE106" s="15"/>
      <c r="AF106" s="29"/>
    </row>
    <row r="107" ht="15.0" customHeight="1">
      <c r="A107" s="65">
        <v>105.0</v>
      </c>
      <c r="B107" s="92"/>
      <c r="C107" s="93"/>
      <c r="D107" s="82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14"/>
      <c r="AE107" s="15"/>
      <c r="AF107" s="29"/>
    </row>
    <row r="108" ht="15.0" customHeight="1">
      <c r="A108" s="79">
        <v>106.0</v>
      </c>
      <c r="B108" s="92"/>
      <c r="C108" s="93"/>
      <c r="D108" s="82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14"/>
      <c r="AE108" s="15"/>
      <c r="AF108" s="29"/>
    </row>
    <row r="109" ht="15.0" customHeight="1">
      <c r="A109" s="65">
        <v>107.0</v>
      </c>
      <c r="B109" s="92"/>
      <c r="C109" s="93"/>
      <c r="D109" s="82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14"/>
      <c r="AE109" s="15"/>
      <c r="AF109" s="29"/>
    </row>
    <row r="110" ht="15.0" customHeight="1">
      <c r="A110" s="79">
        <v>108.0</v>
      </c>
      <c r="B110" s="92"/>
      <c r="C110" s="93"/>
      <c r="D110" s="82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14"/>
      <c r="AE110" s="15"/>
      <c r="AF110" s="29"/>
    </row>
    <row r="111" ht="15.0" customHeight="1">
      <c r="A111" s="65">
        <v>109.0</v>
      </c>
      <c r="B111" s="92"/>
      <c r="C111" s="93"/>
      <c r="D111" s="82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14"/>
      <c r="AE111" s="15"/>
      <c r="AF111" s="29"/>
    </row>
    <row r="112" ht="15.0" customHeight="1">
      <c r="A112" s="79">
        <v>110.0</v>
      </c>
      <c r="B112" s="92"/>
      <c r="C112" s="93"/>
      <c r="D112" s="82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14"/>
      <c r="AE112" s="15"/>
      <c r="AF112" s="29"/>
    </row>
    <row r="113" ht="15.0" customHeight="1">
      <c r="A113" s="65">
        <v>111.0</v>
      </c>
      <c r="B113" s="92"/>
      <c r="C113" s="93"/>
      <c r="D113" s="82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14"/>
      <c r="AE113" s="15"/>
      <c r="AF113" s="29"/>
    </row>
    <row r="114" ht="15.0" customHeight="1">
      <c r="A114" s="79">
        <v>112.0</v>
      </c>
      <c r="B114" s="92"/>
      <c r="C114" s="93"/>
      <c r="D114" s="82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14"/>
      <c r="AE114" s="15"/>
      <c r="AF114" s="29"/>
    </row>
    <row r="115" ht="15.0" customHeight="1">
      <c r="A115" s="65">
        <v>113.0</v>
      </c>
      <c r="B115" s="92"/>
      <c r="C115" s="93"/>
      <c r="D115" s="82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14"/>
      <c r="AE115" s="15"/>
      <c r="AF115" s="29"/>
    </row>
    <row r="116" ht="15.0" customHeight="1">
      <c r="A116" s="79">
        <v>114.0</v>
      </c>
      <c r="B116" s="92"/>
      <c r="C116" s="93"/>
      <c r="D116" s="82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14"/>
      <c r="AE116" s="15"/>
      <c r="AF116" s="29"/>
    </row>
    <row r="117" ht="15.0" customHeight="1">
      <c r="A117" s="65">
        <v>115.0</v>
      </c>
      <c r="B117" s="92"/>
      <c r="C117" s="93"/>
      <c r="D117" s="82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14"/>
      <c r="AE117" s="15"/>
      <c r="AF117" s="29"/>
    </row>
    <row r="118" ht="15.0" customHeight="1">
      <c r="A118" s="79">
        <v>116.0</v>
      </c>
      <c r="B118" s="92"/>
      <c r="C118" s="93"/>
      <c r="D118" s="82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14"/>
      <c r="AE118" s="15"/>
      <c r="AF118" s="29"/>
    </row>
    <row r="119" ht="15.0" customHeight="1">
      <c r="A119" s="65">
        <v>117.0</v>
      </c>
      <c r="B119" s="92"/>
      <c r="C119" s="93"/>
      <c r="D119" s="82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14"/>
      <c r="AE119" s="15"/>
      <c r="AF119" s="29"/>
    </row>
    <row r="120" ht="15.0" customHeight="1">
      <c r="A120" s="79">
        <v>118.0</v>
      </c>
      <c r="B120" s="92"/>
      <c r="C120" s="93"/>
      <c r="D120" s="82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14"/>
      <c r="AE120" s="15"/>
      <c r="AF120" s="29"/>
    </row>
    <row r="121" ht="15.0" customHeight="1">
      <c r="A121" s="65">
        <v>119.0</v>
      </c>
      <c r="B121" s="92"/>
      <c r="C121" s="93"/>
      <c r="D121" s="82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14"/>
      <c r="AE121" s="15"/>
      <c r="AF121" s="29"/>
    </row>
    <row r="122" ht="15.0" customHeight="1">
      <c r="A122" s="95">
        <v>120.0</v>
      </c>
      <c r="B122" s="96"/>
      <c r="C122" s="97"/>
      <c r="D122" s="98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21"/>
      <c r="Z122" s="100"/>
      <c r="AA122" s="100"/>
      <c r="AB122" s="100"/>
      <c r="AC122" s="100"/>
      <c r="AD122" s="100"/>
      <c r="AE122" s="22"/>
      <c r="AF122" s="29"/>
    </row>
    <row r="123" ht="16.5" customHeight="1">
      <c r="A123" s="101" t="s">
        <v>152</v>
      </c>
      <c r="B123" s="102"/>
      <c r="C123" s="102"/>
      <c r="D123" s="102"/>
      <c r="E123" s="102"/>
      <c r="F123" s="102"/>
      <c r="G123" s="102"/>
      <c r="H123" s="102"/>
      <c r="I123" s="103"/>
      <c r="J123" s="104" t="s">
        <v>153</v>
      </c>
      <c r="K123" s="105" t="s">
        <v>154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  <c r="Y123" s="106">
        <f>IF(CO_ATTAINMENT!Y131="","", CO_ATTAINMENT!Y131)</f>
        <v>0</v>
      </c>
      <c r="Z123" s="106">
        <f>IF(CO_ATTAINMENT!Z131="","", CO_ATTAINMENT!Z131)</f>
        <v>0</v>
      </c>
      <c r="AA123" s="106">
        <f>IF(CO_ATTAINMENT!AA131="","", CO_ATTAINMENT!AA131)</f>
        <v>0</v>
      </c>
      <c r="AB123" s="106">
        <f>IF(CO_ATTAINMENT!AB131="","", CO_ATTAINMENT!AB131)</f>
        <v>0</v>
      </c>
      <c r="AC123" s="106">
        <f>IF(CO_ATTAINMENT!AC131="","", CO_ATTAINMENT!AC131)</f>
        <v>0</v>
      </c>
      <c r="AD123" s="106" t="str">
        <f>IF(CO_ATTAINMENT!AD131="","", CO_ATTAINMENT!AD131)</f>
        <v/>
      </c>
      <c r="AE123" s="107"/>
      <c r="AF123" s="29"/>
    </row>
    <row r="124" ht="23.25" customHeight="1">
      <c r="A124" s="108"/>
      <c r="B124" s="109" t="s">
        <v>155</v>
      </c>
      <c r="C124" s="78"/>
      <c r="D124" s="78"/>
      <c r="E124" s="78"/>
      <c r="F124" s="78"/>
      <c r="G124" s="78"/>
      <c r="H124" s="78"/>
      <c r="I124" s="2"/>
      <c r="J124" s="58"/>
      <c r="K124" s="105" t="s">
        <v>156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  <c r="Y124" s="106">
        <f>IF(CO_ATTAINMENT!Y132="","", CO_ATTAINMENT!Y132)</f>
        <v>63</v>
      </c>
      <c r="Z124" s="106">
        <f>IF(CO_ATTAINMENT!Z132="","", CO_ATTAINMENT!Z132)</f>
        <v>63</v>
      </c>
      <c r="AA124" s="106">
        <f>IF(CO_ATTAINMENT!AA132="","", CO_ATTAINMENT!AA132)</f>
        <v>63</v>
      </c>
      <c r="AB124" s="106">
        <f>IF(CO_ATTAINMENT!AB132="","", CO_ATTAINMENT!AB132)</f>
        <v>63</v>
      </c>
      <c r="AC124" s="106">
        <f>IF(CO_ATTAINMENT!AC132="","", CO_ATTAINMENT!AC132)</f>
        <v>63</v>
      </c>
      <c r="AD124" s="106" t="str">
        <f>IF(CO_ATTAINMENT!AD132="","", CO_ATTAINMENT!AD132)</f>
        <v/>
      </c>
      <c r="AE124" s="14"/>
      <c r="AF124" s="29"/>
    </row>
    <row r="125" ht="23.25" customHeight="1">
      <c r="A125" s="108"/>
      <c r="B125" s="14"/>
      <c r="I125" s="15"/>
      <c r="J125" s="58"/>
      <c r="K125" s="105" t="s">
        <v>157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9"/>
      <c r="Y125" s="110">
        <f>IF(Y$10="","",COUNTIF(Y$11:Y$122,"&gt;="&amp;$N$1))</f>
        <v>1</v>
      </c>
      <c r="Z125" s="106">
        <f>IF(CO_ATTAINMENT!Z133="","", CO_ATTAINMENT!Z133)</f>
        <v>39</v>
      </c>
      <c r="AA125" s="106">
        <f>IF(CO_ATTAINMENT!AA133="","", CO_ATTAINMENT!AA133)</f>
        <v>23</v>
      </c>
      <c r="AB125" s="106">
        <f>IF(CO_ATTAINMENT!AB133="","", CO_ATTAINMENT!AB133)</f>
        <v>2</v>
      </c>
      <c r="AC125" s="106">
        <f>IF(CO_ATTAINMENT!AC133="","", CO_ATTAINMENT!AC133)</f>
        <v>2</v>
      </c>
      <c r="AD125" s="106" t="str">
        <f>IF(CO_ATTAINMENT!AD133="","", CO_ATTAINMENT!AD133)</f>
        <v/>
      </c>
      <c r="AE125" s="14"/>
      <c r="AF125" s="29"/>
    </row>
    <row r="126" ht="23.25" customHeight="1">
      <c r="A126" s="108"/>
      <c r="B126" s="14"/>
      <c r="I126" s="15"/>
      <c r="J126" s="58"/>
      <c r="K126" s="105" t="s">
        <v>158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  <c r="Y126" s="111">
        <f>IFERROR((Y125/Y124)*100,"")</f>
        <v>1.587301587</v>
      </c>
      <c r="Z126" s="112">
        <f>IF(CO_ATTAINMENT!Z134="","", CO_ATTAINMENT!Z134)</f>
        <v>61.9047619</v>
      </c>
      <c r="AA126" s="112">
        <f>IF(CO_ATTAINMENT!AA134="","", CO_ATTAINMENT!AA134)</f>
        <v>36.50793651</v>
      </c>
      <c r="AB126" s="112">
        <f>IF(CO_ATTAINMENT!AB134="","", CO_ATTAINMENT!AB134)</f>
        <v>3.174603175</v>
      </c>
      <c r="AC126" s="112">
        <f>IF(CO_ATTAINMENT!AC134="","", CO_ATTAINMENT!AC134)</f>
        <v>3.174603175</v>
      </c>
      <c r="AD126" s="112" t="str">
        <f>IF(CO_ATTAINMENT!AD134="","", CO_ATTAINMENT!AD134)</f>
        <v/>
      </c>
      <c r="AE126" s="14"/>
      <c r="AF126" s="29"/>
    </row>
    <row r="127" ht="31.5" customHeight="1">
      <c r="A127" s="113"/>
      <c r="B127" s="21"/>
      <c r="C127" s="100"/>
      <c r="D127" s="100"/>
      <c r="E127" s="100"/>
      <c r="F127" s="100"/>
      <c r="G127" s="100"/>
      <c r="H127" s="100"/>
      <c r="I127" s="22"/>
      <c r="J127" s="59"/>
      <c r="K127" s="105" t="s">
        <v>159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111"/>
      <c r="Z127" s="112">
        <f>IF(CO_ATTAINMENT!Z135="","", CO_ATTAINMENT!Z135)</f>
        <v>2.19047619</v>
      </c>
      <c r="AA127" s="112">
        <f>IF(CO_ATTAINMENT!AA135="","", CO_ATTAINMENT!AA135)</f>
        <v>0</v>
      </c>
      <c r="AB127" s="112">
        <f>IF(CO_ATTAINMENT!AB135="","", CO_ATTAINMENT!AB135)</f>
        <v>0</v>
      </c>
      <c r="AC127" s="112">
        <f>IF(CO_ATTAINMENT!AC135="","", CO_ATTAINMENT!AC135)</f>
        <v>0</v>
      </c>
      <c r="AD127" s="112" t="str">
        <f>IF(CO_ATTAINMENT!AD135="","", CO_ATTAINMENT!AD135)</f>
        <v/>
      </c>
      <c r="AE127" s="14"/>
      <c r="AF127" s="29"/>
    </row>
    <row r="128" ht="23.25" customHeight="1">
      <c r="A128" s="114"/>
      <c r="B128" s="115"/>
      <c r="C128" s="8"/>
      <c r="D128" s="8"/>
      <c r="E128" s="8"/>
      <c r="F128" s="8"/>
      <c r="G128" s="8"/>
      <c r="H128" s="9"/>
      <c r="I128" s="116"/>
      <c r="J128" s="117" t="s">
        <v>160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118">
        <f t="shared" ref="Z128:AD128" si="3">IFERROR(Z127,"")</f>
        <v>2.19047619</v>
      </c>
      <c r="AA128" s="118">
        <f t="shared" si="3"/>
        <v>0</v>
      </c>
      <c r="AB128" s="119">
        <f t="shared" si="3"/>
        <v>0</v>
      </c>
      <c r="AC128" s="119">
        <f t="shared" si="3"/>
        <v>0</v>
      </c>
      <c r="AD128" s="119" t="str">
        <f t="shared" si="3"/>
        <v/>
      </c>
      <c r="AE128" s="14"/>
      <c r="AF128" s="29"/>
    </row>
    <row r="129" ht="16.5" customHeight="1">
      <c r="A129" s="101" t="s">
        <v>152</v>
      </c>
      <c r="B129" s="102"/>
      <c r="C129" s="102"/>
      <c r="D129" s="102"/>
      <c r="E129" s="102"/>
      <c r="F129" s="102"/>
      <c r="G129" s="102"/>
      <c r="H129" s="102"/>
      <c r="I129" s="103"/>
      <c r="J129" s="104" t="s">
        <v>153</v>
      </c>
      <c r="K129" s="105" t="s">
        <v>154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  <c r="Y129" s="106">
        <f>IF(CO_ATTAINMENT!Y137="","", CO_ATTAINMENT!Y137)</f>
        <v>0</v>
      </c>
      <c r="Z129" s="106">
        <f>IF(CO_ATTAINMENT!Z137="","", CO_ATTAINMENT!Z137)</f>
        <v>0</v>
      </c>
      <c r="AA129" s="120">
        <f>IF(CO_ATTAINMENT!AA137="","", CO_ATTAINMENT!AA137)</f>
        <v>0</v>
      </c>
      <c r="AB129" s="121">
        <f>IF(CO_ATTAINMENT!AB137="","", CO_ATTAINMENT!AB137)</f>
        <v>0</v>
      </c>
      <c r="AC129" s="121">
        <f>IF(CO_ATTAINMENT!AC137="","", CO_ATTAINMENT!AC137)</f>
        <v>0</v>
      </c>
      <c r="AD129" s="121" t="str">
        <f>IF(CO_ATTAINMENT!AD137="","", CO_ATTAINMENT!AD137)</f>
        <v/>
      </c>
      <c r="AE129" s="122"/>
      <c r="AF129" s="29"/>
    </row>
    <row r="130" ht="23.25" customHeight="1">
      <c r="A130" s="108"/>
      <c r="B130" s="109" t="s">
        <v>161</v>
      </c>
      <c r="C130" s="78"/>
      <c r="D130" s="78"/>
      <c r="E130" s="78"/>
      <c r="F130" s="78"/>
      <c r="G130" s="78"/>
      <c r="H130" s="78"/>
      <c r="I130" s="2"/>
      <c r="J130" s="58"/>
      <c r="K130" s="105" t="s">
        <v>156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  <c r="Y130" s="106">
        <f>IF(CO_ATTAINMENT!Y138="","", CO_ATTAINMENT!Y138)</f>
        <v>63</v>
      </c>
      <c r="Z130" s="106">
        <f>IF(CO_ATTAINMENT!Z138="","", CO_ATTAINMENT!Z138)</f>
        <v>63</v>
      </c>
      <c r="AA130" s="120">
        <f>IF(CO_ATTAINMENT!AA138="","", CO_ATTAINMENT!AA138)</f>
        <v>63</v>
      </c>
      <c r="AB130" s="121">
        <f>IF(CO_ATTAINMENT!AB138="","", CO_ATTAINMENT!AB138)</f>
        <v>63</v>
      </c>
      <c r="AC130" s="121">
        <f>IF(CO_ATTAINMENT!AC138="","", CO_ATTAINMENT!AC138)</f>
        <v>63</v>
      </c>
      <c r="AD130" s="121" t="str">
        <f>IF(CO_ATTAINMENT!AD138="","", CO_ATTAINMENT!AD138)</f>
        <v/>
      </c>
      <c r="AF130" s="29"/>
    </row>
    <row r="131" ht="23.25" customHeight="1">
      <c r="A131" s="108"/>
      <c r="B131" s="14"/>
      <c r="I131" s="15"/>
      <c r="J131" s="58"/>
      <c r="K131" s="105" t="s">
        <v>162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106">
        <f>IF(CO_ATTAINMENT!Y139="","", CO_ATTAINMENT!Y139)</f>
        <v>54</v>
      </c>
      <c r="Z131" s="106">
        <f>IF(CO_ATTAINMENT!Z139="","", CO_ATTAINMENT!Z139)</f>
        <v>55</v>
      </c>
      <c r="AA131" s="120">
        <f>IF(CO_ATTAINMENT!AA139="","", CO_ATTAINMENT!AA139)</f>
        <v>55</v>
      </c>
      <c r="AB131" s="121">
        <f>IF(CO_ATTAINMENT!AB139="","", CO_ATTAINMENT!AB139)</f>
        <v>40</v>
      </c>
      <c r="AC131" s="121">
        <f>IF(CO_ATTAINMENT!AC139="","", CO_ATTAINMENT!AC139)</f>
        <v>32</v>
      </c>
      <c r="AD131" s="121" t="str">
        <f>IF(CO_ATTAINMENT!AD139="","", CO_ATTAINMENT!AD139)</f>
        <v/>
      </c>
      <c r="AF131" s="29"/>
    </row>
    <row r="132" ht="23.25" customHeight="1">
      <c r="A132" s="108"/>
      <c r="B132" s="14"/>
      <c r="I132" s="15"/>
      <c r="J132" s="58"/>
      <c r="K132" s="105" t="s">
        <v>163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  <c r="Y132" s="106">
        <f>IF(CO_ATTAINMENT!Y140="","", CO_ATTAINMENT!Y140)</f>
        <v>85.71428571</v>
      </c>
      <c r="Z132" s="106">
        <f>IF(CO_ATTAINMENT!Z140="","", CO_ATTAINMENT!Z140)</f>
        <v>87.3015873</v>
      </c>
      <c r="AA132" s="120">
        <f>IF(CO_ATTAINMENT!AA140="","", CO_ATTAINMENT!AA140)</f>
        <v>87.3015873</v>
      </c>
      <c r="AB132" s="121">
        <f>IF(CO_ATTAINMENT!AB140="","", CO_ATTAINMENT!AB140)</f>
        <v>63.49206349</v>
      </c>
      <c r="AC132" s="121">
        <f>IF(CO_ATTAINMENT!AC140="","", CO_ATTAINMENT!AC140)</f>
        <v>50.79365079</v>
      </c>
      <c r="AD132" s="121" t="str">
        <f>IF(CO_ATTAINMENT!AD140="","", CO_ATTAINMENT!AD140)</f>
        <v/>
      </c>
      <c r="AF132" s="29"/>
    </row>
    <row r="133" ht="31.5" customHeight="1">
      <c r="A133" s="113"/>
      <c r="B133" s="21"/>
      <c r="C133" s="100"/>
      <c r="D133" s="100"/>
      <c r="E133" s="100"/>
      <c r="F133" s="100"/>
      <c r="G133" s="100"/>
      <c r="H133" s="100"/>
      <c r="I133" s="22"/>
      <c r="J133" s="59"/>
      <c r="K133" s="105" t="s">
        <v>164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  <c r="Y133" s="106" t="str">
        <f>IF(CO_ATTAINMENT!Y141="","", CO_ATTAINMENT!Y141)</f>
        <v/>
      </c>
      <c r="Z133" s="112" t="str">
        <f>IF(CO_ATTAINMENT!Z141="","", CO_ATTAINMENT!Z141)</f>
        <v/>
      </c>
      <c r="AA133" s="123" t="str">
        <f>IF(CO_ATTAINMENT!AA141="","", CO_ATTAINMENT!AA141)</f>
        <v/>
      </c>
      <c r="AB133" s="124" t="str">
        <f>IF(CO_ATTAINMENT!AB141="","", CO_ATTAINMENT!AB141)</f>
        <v/>
      </c>
      <c r="AC133" s="124" t="str">
        <f>IF(CO_ATTAINMENT!AC141="","", CO_ATTAINMENT!AC141)</f>
        <v/>
      </c>
      <c r="AD133" s="124" t="str">
        <f>IF(CO_ATTAINMENT!AD141="","", CO_ATTAINMENT!AD141)</f>
        <v/>
      </c>
      <c r="AF133" s="29"/>
    </row>
    <row r="134" ht="31.5" customHeight="1">
      <c r="A134" s="125"/>
      <c r="B134" s="126"/>
      <c r="C134" s="127"/>
      <c r="D134" s="127"/>
      <c r="E134" s="127"/>
      <c r="F134" s="127"/>
      <c r="G134" s="127"/>
      <c r="H134" s="127"/>
      <c r="I134" s="128"/>
      <c r="J134" s="129"/>
      <c r="K134" s="130"/>
      <c r="L134" s="130"/>
      <c r="M134" s="130"/>
      <c r="N134" s="130"/>
      <c r="O134" s="130"/>
      <c r="P134" s="130"/>
      <c r="Q134" s="131" t="s">
        <v>165</v>
      </c>
      <c r="R134" s="8"/>
      <c r="S134" s="8"/>
      <c r="T134" s="8"/>
      <c r="U134" s="8"/>
      <c r="V134" s="8"/>
      <c r="W134" s="8"/>
      <c r="X134" s="8"/>
      <c r="Y134" s="9"/>
      <c r="Z134" s="132" t="str">
        <f t="shared" ref="Z134:AD134" si="4">IFERROR(Z133,"")</f>
        <v/>
      </c>
      <c r="AA134" s="133" t="str">
        <f t="shared" si="4"/>
        <v/>
      </c>
      <c r="AB134" s="133" t="str">
        <f t="shared" si="4"/>
        <v/>
      </c>
      <c r="AC134" s="133" t="str">
        <f t="shared" si="4"/>
        <v/>
      </c>
      <c r="AD134" s="133" t="str">
        <f t="shared" si="4"/>
        <v/>
      </c>
      <c r="AF134" s="29"/>
    </row>
    <row r="135" ht="31.5" customHeight="1">
      <c r="A135" s="134" t="s">
        <v>166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135"/>
      <c r="T135" s="136"/>
      <c r="U135" s="136"/>
      <c r="V135" s="136"/>
      <c r="W135" s="136"/>
      <c r="X135" s="136"/>
      <c r="Y135" s="137"/>
      <c r="Z135" s="138"/>
      <c r="AA135" s="139"/>
      <c r="AB135" s="139"/>
      <c r="AC135" s="139"/>
      <c r="AD135" s="140"/>
      <c r="AF135" s="29"/>
    </row>
    <row r="136" ht="31.5" customHeight="1">
      <c r="A136" s="141"/>
      <c r="B136" s="142" t="s">
        <v>167</v>
      </c>
      <c r="C136" s="15"/>
      <c r="D136" s="143"/>
      <c r="E136" s="143" t="s">
        <v>168</v>
      </c>
      <c r="F136" s="143" t="s">
        <v>169</v>
      </c>
      <c r="G136" s="143" t="s">
        <v>170</v>
      </c>
      <c r="H136" s="143" t="s">
        <v>171</v>
      </c>
      <c r="I136" s="143" t="s">
        <v>172</v>
      </c>
      <c r="J136" s="143" t="s">
        <v>173</v>
      </c>
      <c r="K136" s="143" t="s">
        <v>174</v>
      </c>
      <c r="L136" s="143" t="s">
        <v>175</v>
      </c>
      <c r="M136" s="143" t="s">
        <v>176</v>
      </c>
      <c r="N136" s="143" t="s">
        <v>177</v>
      </c>
      <c r="O136" s="143" t="s">
        <v>178</v>
      </c>
      <c r="P136" s="143" t="s">
        <v>179</v>
      </c>
      <c r="Q136" s="143" t="s">
        <v>180</v>
      </c>
      <c r="R136" s="144" t="s">
        <v>181</v>
      </c>
      <c r="S136" s="145" t="s">
        <v>182</v>
      </c>
      <c r="T136" s="146"/>
      <c r="U136" s="146"/>
      <c r="V136" s="146"/>
      <c r="W136" s="146"/>
      <c r="X136" s="146"/>
      <c r="Y136" s="147"/>
      <c r="Z136" s="148"/>
      <c r="AA136" s="148"/>
      <c r="AB136" s="148"/>
      <c r="AC136" s="148"/>
      <c r="AD136" s="148"/>
      <c r="AF136" s="29"/>
    </row>
    <row r="137" ht="31.5" customHeight="1">
      <c r="A137" s="141"/>
      <c r="C137" s="15"/>
      <c r="D137" s="143" t="s">
        <v>31</v>
      </c>
      <c r="E137" s="149">
        <v>2.0</v>
      </c>
      <c r="F137" s="149">
        <v>2.0</v>
      </c>
      <c r="G137" s="149" t="s">
        <v>183</v>
      </c>
      <c r="H137" s="149" t="s">
        <v>183</v>
      </c>
      <c r="I137" s="149">
        <v>1.0</v>
      </c>
      <c r="J137" s="149" t="s">
        <v>183</v>
      </c>
      <c r="K137" s="149" t="s">
        <v>183</v>
      </c>
      <c r="L137" s="149" t="s">
        <v>183</v>
      </c>
      <c r="M137" s="149" t="s">
        <v>183</v>
      </c>
      <c r="N137" s="149" t="s">
        <v>183</v>
      </c>
      <c r="O137" s="149">
        <v>1.0</v>
      </c>
      <c r="P137" s="149">
        <v>1.0</v>
      </c>
      <c r="Q137" s="149">
        <v>1.0</v>
      </c>
      <c r="R137" s="150" t="s">
        <v>183</v>
      </c>
      <c r="S137" s="149">
        <v>1.0</v>
      </c>
      <c r="T137" s="146"/>
      <c r="U137" s="146"/>
      <c r="V137" s="146"/>
      <c r="W137" s="146"/>
      <c r="X137" s="146"/>
      <c r="Y137" s="147"/>
      <c r="Z137" s="148"/>
      <c r="AA137" s="148"/>
      <c r="AB137" s="148"/>
      <c r="AC137" s="148"/>
      <c r="AD137" s="148"/>
      <c r="AF137" s="29"/>
    </row>
    <row r="138" ht="31.5" customHeight="1">
      <c r="A138" s="141"/>
      <c r="C138" s="15"/>
      <c r="D138" s="143" t="s">
        <v>32</v>
      </c>
      <c r="E138" s="149">
        <v>2.0</v>
      </c>
      <c r="F138" s="149">
        <v>3.0</v>
      </c>
      <c r="G138" s="149">
        <v>2.0</v>
      </c>
      <c r="H138" s="149">
        <v>1.0</v>
      </c>
      <c r="I138" s="149">
        <v>1.0</v>
      </c>
      <c r="J138" s="149" t="s">
        <v>183</v>
      </c>
      <c r="K138" s="149" t="s">
        <v>183</v>
      </c>
      <c r="L138" s="149" t="s">
        <v>183</v>
      </c>
      <c r="M138" s="149" t="s">
        <v>183</v>
      </c>
      <c r="N138" s="149">
        <v>1.0</v>
      </c>
      <c r="O138" s="149" t="s">
        <v>183</v>
      </c>
      <c r="P138" s="149">
        <v>1.0</v>
      </c>
      <c r="Q138" s="149">
        <v>1.0</v>
      </c>
      <c r="R138" s="150" t="s">
        <v>183</v>
      </c>
      <c r="S138" s="149">
        <v>1.0</v>
      </c>
      <c r="T138" s="146"/>
      <c r="U138" s="146"/>
      <c r="V138" s="146"/>
      <c r="W138" s="146"/>
      <c r="X138" s="146"/>
      <c r="Y138" s="147"/>
      <c r="Z138" s="148"/>
      <c r="AA138" s="148"/>
      <c r="AB138" s="148"/>
      <c r="AC138" s="148"/>
      <c r="AD138" s="148"/>
      <c r="AF138" s="29"/>
    </row>
    <row r="139" ht="31.5" customHeight="1">
      <c r="A139" s="141"/>
      <c r="C139" s="15"/>
      <c r="D139" s="143" t="s">
        <v>33</v>
      </c>
      <c r="E139" s="149">
        <v>1.0</v>
      </c>
      <c r="F139" s="149">
        <v>1.0</v>
      </c>
      <c r="G139" s="149">
        <v>2.0</v>
      </c>
      <c r="H139" s="149" t="s">
        <v>183</v>
      </c>
      <c r="I139" s="149">
        <v>1.0</v>
      </c>
      <c r="J139" s="149">
        <v>1.0</v>
      </c>
      <c r="K139" s="149" t="s">
        <v>183</v>
      </c>
      <c r="L139" s="149">
        <v>1.0</v>
      </c>
      <c r="M139" s="149" t="s">
        <v>183</v>
      </c>
      <c r="N139" s="149" t="s">
        <v>183</v>
      </c>
      <c r="O139" s="149" t="s">
        <v>183</v>
      </c>
      <c r="P139" s="149">
        <v>1.0</v>
      </c>
      <c r="Q139" s="149">
        <v>2.0</v>
      </c>
      <c r="R139" s="150">
        <v>1.0</v>
      </c>
      <c r="S139" s="149">
        <v>1.0</v>
      </c>
      <c r="T139" s="146"/>
      <c r="U139" s="146"/>
      <c r="V139" s="146"/>
      <c r="W139" s="146"/>
      <c r="X139" s="146"/>
      <c r="Y139" s="147"/>
      <c r="Z139" s="148"/>
      <c r="AA139" s="148"/>
      <c r="AB139" s="148"/>
      <c r="AC139" s="148"/>
      <c r="AD139" s="148"/>
      <c r="AF139" s="29"/>
    </row>
    <row r="140" ht="31.5" customHeight="1">
      <c r="A140" s="141"/>
      <c r="C140" s="15"/>
      <c r="D140" s="143" t="s">
        <v>34</v>
      </c>
      <c r="E140" s="149">
        <v>1.0</v>
      </c>
      <c r="F140" s="149">
        <v>1.0</v>
      </c>
      <c r="G140" s="149">
        <v>2.0</v>
      </c>
      <c r="H140" s="149">
        <v>1.0</v>
      </c>
      <c r="I140" s="149">
        <v>1.0</v>
      </c>
      <c r="J140" s="149">
        <v>1.0</v>
      </c>
      <c r="K140" s="149" t="s">
        <v>183</v>
      </c>
      <c r="L140" s="149">
        <v>1.0</v>
      </c>
      <c r="M140" s="149" t="s">
        <v>183</v>
      </c>
      <c r="N140" s="149">
        <v>1.0</v>
      </c>
      <c r="O140" s="149">
        <v>1.0</v>
      </c>
      <c r="P140" s="149">
        <v>1.0</v>
      </c>
      <c r="Q140" s="149">
        <v>2.0</v>
      </c>
      <c r="R140" s="150">
        <v>1.0</v>
      </c>
      <c r="S140" s="149">
        <v>1.0</v>
      </c>
      <c r="T140" s="146"/>
      <c r="U140" s="146"/>
      <c r="V140" s="146"/>
      <c r="W140" s="146"/>
      <c r="X140" s="146"/>
      <c r="Y140" s="147"/>
      <c r="Z140" s="148"/>
      <c r="AA140" s="148"/>
      <c r="AB140" s="148"/>
      <c r="AC140" s="148"/>
      <c r="AD140" s="148"/>
      <c r="AF140" s="29"/>
    </row>
    <row r="141" ht="31.5" customHeight="1">
      <c r="A141" s="151"/>
      <c r="B141" s="100"/>
      <c r="C141" s="22"/>
      <c r="D141" s="143" t="s">
        <v>35</v>
      </c>
      <c r="E141" s="149" t="s">
        <v>183</v>
      </c>
      <c r="F141" s="149" t="s">
        <v>183</v>
      </c>
      <c r="G141" s="149" t="s">
        <v>183</v>
      </c>
      <c r="H141" s="149" t="s">
        <v>183</v>
      </c>
      <c r="I141" s="149" t="s">
        <v>183</v>
      </c>
      <c r="J141" s="149" t="s">
        <v>183</v>
      </c>
      <c r="K141" s="149" t="s">
        <v>183</v>
      </c>
      <c r="L141" s="149" t="s">
        <v>183</v>
      </c>
      <c r="M141" s="149" t="s">
        <v>183</v>
      </c>
      <c r="N141" s="149" t="s">
        <v>183</v>
      </c>
      <c r="O141" s="149" t="s">
        <v>183</v>
      </c>
      <c r="P141" s="149" t="s">
        <v>183</v>
      </c>
      <c r="Q141" s="149" t="s">
        <v>183</v>
      </c>
      <c r="R141" s="150" t="s">
        <v>183</v>
      </c>
      <c r="S141" s="149" t="s">
        <v>183</v>
      </c>
      <c r="T141" s="146"/>
      <c r="U141" s="146"/>
      <c r="V141" s="146"/>
      <c r="W141" s="146"/>
      <c r="X141" s="146"/>
      <c r="Y141" s="147"/>
      <c r="Z141" s="148"/>
      <c r="AA141" s="148"/>
      <c r="AB141" s="148"/>
      <c r="AC141" s="148"/>
      <c r="AD141" s="148"/>
      <c r="AF141" s="29"/>
    </row>
    <row r="142" ht="31.5" customHeight="1">
      <c r="A142" s="152"/>
      <c r="B142" s="153" t="s">
        <v>184</v>
      </c>
      <c r="C142" s="139"/>
      <c r="D142" s="154"/>
      <c r="E142" s="155">
        <f>IF(PO_ATTAINMENT!B24="","",PO_ATTAINMENT!B24)</f>
        <v>0.3650793651</v>
      </c>
      <c r="F142" s="155">
        <f>IF(PO_ATTAINMENT!C24="","",PO_ATTAINMENT!C24)</f>
        <v>0.3650793651</v>
      </c>
      <c r="G142" s="155">
        <f>IF(PO_ATTAINMENT!D24="","",PO_ATTAINMENT!D24)</f>
        <v>0</v>
      </c>
      <c r="H142" s="155">
        <f>IF(PO_ATTAINMENT!E24="","",PO_ATTAINMENT!E24)</f>
        <v>0</v>
      </c>
      <c r="I142" s="155">
        <f>IF(PO_ATTAINMENT!F24="","",PO_ATTAINMENT!F24)</f>
        <v>0.1825396825</v>
      </c>
      <c r="J142" s="155">
        <f>IF(PO_ATTAINMENT!G24="","",PO_ATTAINMENT!G24)</f>
        <v>0</v>
      </c>
      <c r="K142" s="155" t="str">
        <f>IF(PO_ATTAINMENT!H24="","",PO_ATTAINMENT!H24)</f>
        <v/>
      </c>
      <c r="L142" s="155">
        <f>IF(PO_ATTAINMENT!I24="","",PO_ATTAINMENT!I24)</f>
        <v>0</v>
      </c>
      <c r="M142" s="155" t="str">
        <f>IF(PO_ATTAINMENT!J24="","",PO_ATTAINMENT!J24)</f>
        <v/>
      </c>
      <c r="N142" s="155">
        <f>IF(PO_ATTAINMENT!K24="","",PO_ATTAINMENT!K24)</f>
        <v>0</v>
      </c>
      <c r="O142" s="155">
        <f>IF(PO_ATTAINMENT!L24="","",PO_ATTAINMENT!L24)</f>
        <v>0.3650793651</v>
      </c>
      <c r="P142" s="155">
        <f>IF(PO_ATTAINMENT!M24="","",PO_ATTAINMENT!M24)</f>
        <v>0.1825396825</v>
      </c>
      <c r="Q142" s="155">
        <f>IF(PO_ATTAINMENT!N24="","",PO_ATTAINMENT!N24)</f>
        <v>0.1825396825</v>
      </c>
      <c r="R142" s="155">
        <f>IF(PO_ATTAINMENT!O24="","",PO_ATTAINMENT!O24)</f>
        <v>0</v>
      </c>
      <c r="S142" s="155">
        <f>IF(PO_ATTAINMENT!P24="","",PO_ATTAINMENT!P24)</f>
        <v>0.1825396825</v>
      </c>
      <c r="T142" s="146"/>
      <c r="U142" s="146"/>
      <c r="V142" s="146"/>
      <c r="W142" s="146"/>
      <c r="X142" s="146"/>
      <c r="Y142" s="147"/>
      <c r="Z142" s="148"/>
      <c r="AA142" s="148"/>
      <c r="AB142" s="148"/>
      <c r="AC142" s="148"/>
      <c r="AD142" s="148"/>
      <c r="AF142" s="29"/>
    </row>
    <row r="143" ht="21.0" hidden="1" customHeight="1">
      <c r="A143" s="29" t="s">
        <v>39</v>
      </c>
      <c r="B143" s="156" t="s">
        <v>185</v>
      </c>
      <c r="C143" s="139"/>
      <c r="D143" s="154"/>
      <c r="E143" s="157">
        <f>IF(PO_ATTAINMENT!B36="","",PO_ATTAINMENT!B36)</f>
        <v>0</v>
      </c>
      <c r="F143" s="157">
        <f>IF(PO_ATTAINMENT!C36="","",PO_ATTAINMENT!C36)</f>
        <v>0</v>
      </c>
      <c r="G143" s="157">
        <f>IF(PO_ATTAINMENT!D36="","",PO_ATTAINMENT!D36)</f>
        <v>0</v>
      </c>
      <c r="H143" s="157">
        <f>IF(PO_ATTAINMENT!E36="","",PO_ATTAINMENT!E36)</f>
        <v>0</v>
      </c>
      <c r="I143" s="157">
        <f>IF(PO_ATTAINMENT!F36="","",PO_ATTAINMENT!F36)</f>
        <v>0</v>
      </c>
      <c r="J143" s="157">
        <f>IF(PO_ATTAINMENT!G36="","",PO_ATTAINMENT!G36)</f>
        <v>0</v>
      </c>
      <c r="K143" s="157" t="str">
        <f>IF(PO_ATTAINMENT!H36="","",PO_ATTAINMENT!H36)</f>
        <v/>
      </c>
      <c r="L143" s="157">
        <f>IF(PO_ATTAINMENT!I36="","",PO_ATTAINMENT!I36)</f>
        <v>0</v>
      </c>
      <c r="M143" s="157" t="str">
        <f>IF(PO_ATTAINMENT!J36="","",PO_ATTAINMENT!J36)</f>
        <v/>
      </c>
      <c r="N143" s="157">
        <f>IF(PO_ATTAINMENT!K36="","",PO_ATTAINMENT!K36)</f>
        <v>0</v>
      </c>
      <c r="O143" s="157">
        <f>IF(PO_ATTAINMENT!L36="","",PO_ATTAINMENT!L36)</f>
        <v>0</v>
      </c>
      <c r="P143" s="157">
        <f>IF(PO_ATTAINMENT!M36="","",PO_ATTAINMENT!M36)</f>
        <v>0</v>
      </c>
      <c r="Q143" s="157">
        <f>IF(PO_ATTAINMENT!N36="","",PO_ATTAINMENT!N36)</f>
        <v>0</v>
      </c>
      <c r="R143" s="157">
        <f>IF(PO_ATTAINMENT!O36="","",PO_ATTAINMENT!O36)</f>
        <v>0</v>
      </c>
      <c r="S143" s="157">
        <f>IF(PO_ATTAINMENT!P36="","",PO_ATTAINMENT!P36)</f>
        <v>0</v>
      </c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F143" s="29"/>
    </row>
    <row r="144" ht="23.25" customHeight="1">
      <c r="A144" s="29"/>
      <c r="B144" s="29"/>
      <c r="C144" s="29"/>
      <c r="D144" s="2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60"/>
      <c r="U144" s="160"/>
      <c r="V144" s="160"/>
      <c r="W144" s="160"/>
      <c r="X144" s="160"/>
      <c r="Y144" s="160"/>
      <c r="Z144" s="29"/>
      <c r="AA144" s="29"/>
      <c r="AB144" s="29"/>
      <c r="AC144" s="29"/>
      <c r="AD144" s="29"/>
      <c r="AE144" s="29"/>
      <c r="AF144" s="29"/>
    </row>
    <row r="145" ht="23.25" customHeight="1">
      <c r="A145" s="29"/>
      <c r="B145" s="29"/>
      <c r="C145" s="29"/>
      <c r="D145" s="2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60"/>
      <c r="U145" s="160"/>
      <c r="V145" s="160"/>
      <c r="W145" s="160"/>
      <c r="X145" s="160"/>
      <c r="Y145" s="160"/>
      <c r="Z145" s="29"/>
      <c r="AA145" s="29"/>
      <c r="AB145" s="29"/>
      <c r="AC145" s="29"/>
      <c r="AD145" s="29"/>
      <c r="AE145" s="29"/>
      <c r="AF145" s="29"/>
    </row>
    <row r="146" ht="23.25" customHeight="1">
      <c r="A146" s="29"/>
      <c r="B146" s="29"/>
      <c r="C146" s="29"/>
      <c r="D146" s="2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60"/>
      <c r="U146" s="160"/>
      <c r="V146" s="160"/>
      <c r="W146" s="160"/>
      <c r="X146" s="160"/>
      <c r="Y146" s="160"/>
      <c r="Z146" s="29"/>
      <c r="AA146" s="29"/>
      <c r="AB146" s="29"/>
      <c r="AC146" s="29"/>
      <c r="AD146" s="29"/>
      <c r="AE146" s="29"/>
      <c r="AF146" s="29"/>
    </row>
    <row r="147" ht="23.25" customHeight="1">
      <c r="A147" s="29"/>
      <c r="B147" s="29"/>
      <c r="C147" s="29"/>
      <c r="D147" s="2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60"/>
      <c r="U147" s="160"/>
      <c r="V147" s="160"/>
      <c r="W147" s="160"/>
      <c r="X147" s="160"/>
      <c r="Y147" s="160"/>
      <c r="Z147" s="29"/>
      <c r="AA147" s="29"/>
      <c r="AB147" s="29"/>
      <c r="AC147" s="29"/>
      <c r="AD147" s="29"/>
      <c r="AE147" s="29"/>
      <c r="AF147" s="29"/>
    </row>
    <row r="148" ht="23.25" customHeight="1">
      <c r="A148" s="29"/>
      <c r="B148" s="29"/>
      <c r="C148" s="29"/>
      <c r="D148" s="2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60"/>
      <c r="U148" s="160"/>
      <c r="V148" s="160"/>
      <c r="W148" s="160"/>
      <c r="X148" s="160"/>
      <c r="Y148" s="160"/>
      <c r="Z148" s="29"/>
      <c r="AA148" s="29"/>
      <c r="AB148" s="29"/>
      <c r="AC148" s="29"/>
      <c r="AD148" s="29"/>
      <c r="AE148" s="29"/>
      <c r="AF148" s="29"/>
    </row>
    <row r="149" ht="23.25" customHeight="1">
      <c r="A149" s="29"/>
      <c r="B149" s="29"/>
      <c r="C149" s="29"/>
      <c r="D149" s="2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60"/>
      <c r="U149" s="160"/>
      <c r="V149" s="160"/>
      <c r="W149" s="160"/>
      <c r="X149" s="160"/>
      <c r="Y149" s="160"/>
      <c r="Z149" s="29"/>
      <c r="AA149" s="29"/>
      <c r="AB149" s="29"/>
      <c r="AC149" s="29"/>
      <c r="AD149" s="29"/>
      <c r="AE149" s="29"/>
      <c r="AF149" s="29"/>
    </row>
    <row r="150" ht="23.25" customHeight="1">
      <c r="A150" s="29"/>
      <c r="B150" s="29"/>
      <c r="C150" s="29"/>
      <c r="D150" s="2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60"/>
      <c r="U150" s="160"/>
      <c r="V150" s="160"/>
      <c r="W150" s="160"/>
      <c r="X150" s="160"/>
      <c r="Y150" s="160"/>
      <c r="Z150" s="29"/>
      <c r="AA150" s="29"/>
      <c r="AB150" s="29"/>
      <c r="AC150" s="29"/>
      <c r="AD150" s="29"/>
      <c r="AE150" s="29"/>
      <c r="AF150" s="29"/>
    </row>
    <row r="151" ht="23.25" customHeight="1">
      <c r="A151" s="29"/>
      <c r="B151" s="29"/>
      <c r="C151" s="29"/>
      <c r="D151" s="2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60"/>
      <c r="U151" s="160"/>
      <c r="V151" s="160"/>
      <c r="W151" s="160"/>
      <c r="X151" s="160"/>
      <c r="Y151" s="160"/>
      <c r="Z151" s="29"/>
      <c r="AA151" s="29"/>
      <c r="AB151" s="29"/>
      <c r="AC151" s="29"/>
      <c r="AD151" s="29"/>
      <c r="AE151" s="29"/>
      <c r="AF151" s="29"/>
    </row>
    <row r="152" ht="23.25" customHeight="1">
      <c r="A152" s="29"/>
      <c r="B152" s="29"/>
      <c r="C152" s="29"/>
      <c r="D152" s="2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60"/>
      <c r="U152" s="160"/>
      <c r="V152" s="160"/>
      <c r="W152" s="160"/>
      <c r="X152" s="160"/>
      <c r="Y152" s="160"/>
      <c r="Z152" s="29"/>
      <c r="AA152" s="29"/>
      <c r="AB152" s="29"/>
      <c r="AC152" s="29"/>
      <c r="AD152" s="29"/>
      <c r="AE152" s="29"/>
      <c r="AF152" s="29"/>
    </row>
    <row r="153" ht="23.25" customHeight="1">
      <c r="A153" s="29"/>
      <c r="B153" s="29"/>
      <c r="C153" s="29"/>
      <c r="D153" s="2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60"/>
      <c r="U153" s="160"/>
      <c r="V153" s="160"/>
      <c r="W153" s="160"/>
      <c r="X153" s="160"/>
      <c r="Y153" s="160"/>
      <c r="Z153" s="29"/>
      <c r="AA153" s="29"/>
      <c r="AB153" s="29"/>
      <c r="AC153" s="29"/>
      <c r="AD153" s="29"/>
      <c r="AE153" s="29"/>
      <c r="AF153" s="29"/>
    </row>
    <row r="154" ht="23.25" customHeight="1">
      <c r="A154" s="29"/>
      <c r="B154" s="29"/>
      <c r="C154" s="29"/>
      <c r="D154" s="2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60"/>
      <c r="U154" s="160"/>
      <c r="V154" s="160"/>
      <c r="W154" s="160"/>
      <c r="X154" s="160"/>
      <c r="Y154" s="160"/>
      <c r="Z154" s="29"/>
      <c r="AA154" s="29"/>
      <c r="AB154" s="29"/>
      <c r="AC154" s="29"/>
      <c r="AD154" s="29"/>
      <c r="AE154" s="29"/>
      <c r="AF154" s="29"/>
    </row>
    <row r="155" ht="23.25" customHeight="1">
      <c r="A155" s="29"/>
      <c r="B155" s="29"/>
      <c r="C155" s="29"/>
      <c r="D155" s="2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60"/>
      <c r="U155" s="160"/>
      <c r="V155" s="160"/>
      <c r="W155" s="160"/>
      <c r="X155" s="160"/>
      <c r="Y155" s="160"/>
      <c r="Z155" s="29"/>
      <c r="AA155" s="29"/>
      <c r="AB155" s="29"/>
      <c r="AC155" s="29"/>
      <c r="AD155" s="29"/>
      <c r="AE155" s="29"/>
      <c r="AF155" s="29"/>
    </row>
    <row r="156" ht="23.25" customHeight="1">
      <c r="A156" s="29"/>
      <c r="B156" s="29"/>
      <c r="C156" s="29"/>
      <c r="D156" s="2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60"/>
      <c r="U156" s="160"/>
      <c r="V156" s="160"/>
      <c r="W156" s="160"/>
      <c r="X156" s="160"/>
      <c r="Y156" s="160"/>
      <c r="Z156" s="29"/>
      <c r="AA156" s="29"/>
      <c r="AB156" s="29"/>
      <c r="AC156" s="29"/>
      <c r="AD156" s="29"/>
      <c r="AE156" s="29"/>
      <c r="AF156" s="29"/>
    </row>
    <row r="157" ht="23.25" customHeight="1">
      <c r="A157" s="29"/>
      <c r="B157" s="29"/>
      <c r="C157" s="29"/>
      <c r="D157" s="2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60"/>
      <c r="U157" s="160"/>
      <c r="V157" s="160"/>
      <c r="W157" s="160"/>
      <c r="X157" s="160"/>
      <c r="Y157" s="160"/>
      <c r="Z157" s="29"/>
      <c r="AA157" s="29"/>
      <c r="AB157" s="29"/>
      <c r="AC157" s="29"/>
      <c r="AD157" s="29"/>
      <c r="AE157" s="29"/>
      <c r="AF157" s="29"/>
    </row>
    <row r="158" ht="23.25" customHeight="1">
      <c r="A158" s="29"/>
      <c r="B158" s="29"/>
      <c r="C158" s="29"/>
      <c r="D158" s="2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60"/>
      <c r="U158" s="160"/>
      <c r="V158" s="160"/>
      <c r="W158" s="160"/>
      <c r="X158" s="160"/>
      <c r="Y158" s="160"/>
      <c r="Z158" s="29"/>
      <c r="AA158" s="29"/>
      <c r="AB158" s="29"/>
      <c r="AC158" s="29"/>
      <c r="AD158" s="29"/>
      <c r="AE158" s="29"/>
      <c r="AF158" s="29"/>
    </row>
    <row r="159" ht="23.25" customHeight="1">
      <c r="A159" s="29"/>
      <c r="B159" s="29"/>
      <c r="C159" s="29"/>
      <c r="D159" s="2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60"/>
      <c r="U159" s="160"/>
      <c r="V159" s="160"/>
      <c r="W159" s="160"/>
      <c r="X159" s="160"/>
      <c r="Y159" s="160"/>
      <c r="Z159" s="29"/>
      <c r="AA159" s="29"/>
      <c r="AB159" s="29"/>
      <c r="AC159" s="29"/>
      <c r="AD159" s="29"/>
      <c r="AE159" s="29"/>
      <c r="AF159" s="29"/>
    </row>
    <row r="160" ht="23.25" customHeight="1">
      <c r="A160" s="29"/>
      <c r="B160" s="29"/>
      <c r="C160" s="29"/>
      <c r="D160" s="2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60"/>
      <c r="U160" s="160"/>
      <c r="V160" s="160"/>
      <c r="W160" s="160"/>
      <c r="X160" s="160"/>
      <c r="Y160" s="160"/>
      <c r="Z160" s="29"/>
      <c r="AA160" s="29"/>
      <c r="AB160" s="29"/>
      <c r="AC160" s="29"/>
      <c r="AD160" s="29"/>
      <c r="AE160" s="29"/>
      <c r="AF160" s="29"/>
    </row>
    <row r="161" ht="23.25" customHeight="1">
      <c r="A161" s="29"/>
      <c r="B161" s="29"/>
      <c r="C161" s="29"/>
      <c r="D161" s="2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60"/>
      <c r="U161" s="160"/>
      <c r="V161" s="160"/>
      <c r="W161" s="160"/>
      <c r="X161" s="160"/>
      <c r="Y161" s="160"/>
      <c r="Z161" s="29"/>
      <c r="AA161" s="29"/>
      <c r="AB161" s="29"/>
      <c r="AC161" s="29"/>
      <c r="AD161" s="29"/>
      <c r="AE161" s="29"/>
      <c r="AF161" s="29"/>
    </row>
    <row r="162" ht="23.25" customHeight="1">
      <c r="A162" s="29"/>
      <c r="B162" s="29"/>
      <c r="C162" s="29"/>
      <c r="D162" s="2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60"/>
      <c r="U162" s="160"/>
      <c r="V162" s="160"/>
      <c r="W162" s="160"/>
      <c r="X162" s="160"/>
      <c r="Y162" s="160"/>
      <c r="Z162" s="29"/>
      <c r="AA162" s="29"/>
      <c r="AB162" s="29"/>
      <c r="AC162" s="29"/>
      <c r="AD162" s="29"/>
      <c r="AE162" s="29"/>
      <c r="AF162" s="29"/>
    </row>
    <row r="163" ht="23.25" customHeight="1">
      <c r="A163" s="29"/>
      <c r="B163" s="29"/>
      <c r="C163" s="29"/>
      <c r="D163" s="2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60"/>
      <c r="U163" s="160"/>
      <c r="V163" s="160"/>
      <c r="W163" s="160"/>
      <c r="X163" s="160"/>
      <c r="Y163" s="160"/>
      <c r="Z163" s="29"/>
      <c r="AA163" s="29"/>
      <c r="AB163" s="29"/>
      <c r="AC163" s="29"/>
      <c r="AD163" s="29"/>
      <c r="AE163" s="29"/>
      <c r="AF163" s="29"/>
    </row>
    <row r="164" ht="23.25" customHeight="1">
      <c r="A164" s="29"/>
      <c r="B164" s="29"/>
      <c r="C164" s="29"/>
      <c r="D164" s="2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60"/>
      <c r="U164" s="160"/>
      <c r="V164" s="160"/>
      <c r="W164" s="160"/>
      <c r="X164" s="160"/>
      <c r="Y164" s="160"/>
      <c r="Z164" s="29"/>
      <c r="AA164" s="29"/>
      <c r="AB164" s="29"/>
      <c r="AC164" s="29"/>
      <c r="AD164" s="29"/>
      <c r="AE164" s="29"/>
      <c r="AF164" s="29"/>
    </row>
    <row r="165" ht="23.25" customHeight="1">
      <c r="A165" s="29"/>
      <c r="B165" s="29"/>
      <c r="C165" s="29"/>
      <c r="D165" s="2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60"/>
      <c r="U165" s="160"/>
      <c r="V165" s="160"/>
      <c r="W165" s="160"/>
      <c r="X165" s="160"/>
      <c r="Y165" s="160"/>
      <c r="Z165" s="29"/>
      <c r="AA165" s="29"/>
      <c r="AB165" s="29"/>
      <c r="AC165" s="29"/>
      <c r="AD165" s="29"/>
      <c r="AE165" s="29"/>
      <c r="AF165" s="29"/>
    </row>
    <row r="166" ht="23.25" customHeight="1">
      <c r="A166" s="29"/>
      <c r="B166" s="29"/>
      <c r="C166" s="29"/>
      <c r="D166" s="2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60"/>
      <c r="U166" s="160"/>
      <c r="V166" s="160"/>
      <c r="W166" s="160"/>
      <c r="X166" s="160"/>
      <c r="Y166" s="160"/>
      <c r="Z166" s="29"/>
      <c r="AA166" s="29"/>
      <c r="AB166" s="29"/>
      <c r="AC166" s="29"/>
      <c r="AD166" s="29"/>
      <c r="AE166" s="29"/>
      <c r="AF166" s="29"/>
    </row>
    <row r="167" ht="23.25" customHeight="1">
      <c r="A167" s="29"/>
      <c r="B167" s="29"/>
      <c r="C167" s="29"/>
      <c r="D167" s="2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60"/>
      <c r="U167" s="160"/>
      <c r="V167" s="160"/>
      <c r="W167" s="160"/>
      <c r="X167" s="160"/>
      <c r="Y167" s="160"/>
      <c r="Z167" s="29"/>
      <c r="AA167" s="29"/>
      <c r="AB167" s="29"/>
      <c r="AC167" s="29"/>
      <c r="AD167" s="29"/>
      <c r="AE167" s="29"/>
      <c r="AF167" s="29"/>
    </row>
    <row r="168" ht="23.25" customHeight="1">
      <c r="A168" s="29"/>
      <c r="B168" s="29"/>
      <c r="C168" s="29"/>
      <c r="D168" s="2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60"/>
      <c r="U168" s="160"/>
      <c r="V168" s="160"/>
      <c r="W168" s="160"/>
      <c r="X168" s="160"/>
      <c r="Y168" s="160"/>
      <c r="Z168" s="29"/>
      <c r="AA168" s="29"/>
      <c r="AB168" s="29"/>
      <c r="AC168" s="29"/>
      <c r="AD168" s="29"/>
      <c r="AE168" s="29"/>
      <c r="AF168" s="29"/>
    </row>
    <row r="169" ht="23.25" customHeight="1">
      <c r="A169" s="29"/>
      <c r="B169" s="29"/>
      <c r="C169" s="29"/>
      <c r="D169" s="2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60"/>
      <c r="U169" s="160"/>
      <c r="V169" s="160"/>
      <c r="W169" s="160"/>
      <c r="X169" s="160"/>
      <c r="Y169" s="160"/>
      <c r="Z169" s="29"/>
      <c r="AA169" s="29"/>
      <c r="AB169" s="29"/>
      <c r="AC169" s="29"/>
      <c r="AD169" s="29"/>
      <c r="AE169" s="29"/>
      <c r="AF169" s="29"/>
    </row>
    <row r="170" ht="23.25" customHeight="1">
      <c r="A170" s="29"/>
      <c r="B170" s="29"/>
      <c r="C170" s="29"/>
      <c r="D170" s="2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60"/>
      <c r="U170" s="160"/>
      <c r="V170" s="160"/>
      <c r="W170" s="160"/>
      <c r="X170" s="160"/>
      <c r="Y170" s="160"/>
      <c r="Z170" s="29"/>
      <c r="AA170" s="29"/>
      <c r="AB170" s="29"/>
      <c r="AC170" s="29"/>
      <c r="AD170" s="29"/>
      <c r="AE170" s="29"/>
      <c r="AF170" s="29"/>
    </row>
    <row r="171" ht="23.25" customHeight="1">
      <c r="A171" s="29"/>
      <c r="B171" s="29"/>
      <c r="C171" s="29"/>
      <c r="D171" s="2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60"/>
      <c r="U171" s="160"/>
      <c r="V171" s="160"/>
      <c r="W171" s="160"/>
      <c r="X171" s="160"/>
      <c r="Y171" s="160"/>
      <c r="Z171" s="29"/>
      <c r="AA171" s="29"/>
      <c r="AB171" s="29"/>
      <c r="AC171" s="29"/>
      <c r="AD171" s="29"/>
      <c r="AE171" s="29"/>
      <c r="AF171" s="29"/>
    </row>
    <row r="172" ht="23.25" customHeight="1">
      <c r="A172" s="29"/>
      <c r="B172" s="29"/>
      <c r="C172" s="29"/>
      <c r="D172" s="2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60"/>
      <c r="U172" s="160"/>
      <c r="V172" s="160"/>
      <c r="W172" s="160"/>
      <c r="X172" s="160"/>
      <c r="Y172" s="160"/>
      <c r="Z172" s="29"/>
      <c r="AA172" s="29"/>
      <c r="AB172" s="29"/>
      <c r="AC172" s="29"/>
      <c r="AD172" s="29"/>
      <c r="AE172" s="29"/>
      <c r="AF172" s="29"/>
    </row>
    <row r="173" ht="23.25" customHeight="1">
      <c r="A173" s="29"/>
      <c r="B173" s="29"/>
      <c r="C173" s="29"/>
      <c r="D173" s="2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60"/>
      <c r="U173" s="160"/>
      <c r="V173" s="160"/>
      <c r="W173" s="160"/>
      <c r="X173" s="160"/>
      <c r="Y173" s="160"/>
      <c r="Z173" s="29"/>
      <c r="AA173" s="29"/>
      <c r="AB173" s="29"/>
      <c r="AC173" s="29"/>
      <c r="AD173" s="29"/>
      <c r="AE173" s="29"/>
      <c r="AF173" s="29"/>
    </row>
    <row r="174" ht="23.25" customHeight="1">
      <c r="A174" s="29"/>
      <c r="B174" s="29"/>
      <c r="C174" s="29"/>
      <c r="D174" s="2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60"/>
      <c r="U174" s="160"/>
      <c r="V174" s="160"/>
      <c r="W174" s="160"/>
      <c r="X174" s="160"/>
      <c r="Y174" s="160"/>
      <c r="Z174" s="29"/>
      <c r="AA174" s="29"/>
      <c r="AB174" s="29"/>
      <c r="AC174" s="29"/>
      <c r="AD174" s="29"/>
      <c r="AE174" s="29"/>
      <c r="AF174" s="29"/>
    </row>
    <row r="175" ht="23.25" customHeight="1">
      <c r="A175" s="29"/>
      <c r="B175" s="29"/>
      <c r="C175" s="29"/>
      <c r="D175" s="2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60"/>
      <c r="U175" s="160"/>
      <c r="V175" s="160"/>
      <c r="W175" s="160"/>
      <c r="X175" s="160"/>
      <c r="Y175" s="160"/>
      <c r="Z175" s="29"/>
      <c r="AA175" s="29"/>
      <c r="AB175" s="29"/>
      <c r="AC175" s="29"/>
      <c r="AD175" s="29"/>
      <c r="AE175" s="29"/>
      <c r="AF175" s="29"/>
    </row>
    <row r="176" ht="23.25" customHeight="1">
      <c r="A176" s="29"/>
      <c r="B176" s="29"/>
      <c r="C176" s="29"/>
      <c r="D176" s="2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60"/>
      <c r="U176" s="160"/>
      <c r="V176" s="160"/>
      <c r="W176" s="160"/>
      <c r="X176" s="160"/>
      <c r="Y176" s="160"/>
      <c r="Z176" s="29"/>
      <c r="AA176" s="29"/>
      <c r="AB176" s="29"/>
      <c r="AC176" s="29"/>
      <c r="AD176" s="29"/>
      <c r="AE176" s="29"/>
      <c r="AF176" s="29"/>
    </row>
    <row r="177" ht="23.25" customHeight="1">
      <c r="A177" s="29"/>
      <c r="B177" s="29"/>
      <c r="C177" s="29"/>
      <c r="D177" s="2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60"/>
      <c r="U177" s="160"/>
      <c r="V177" s="160"/>
      <c r="W177" s="160"/>
      <c r="X177" s="160"/>
      <c r="Y177" s="160"/>
      <c r="Z177" s="29"/>
      <c r="AA177" s="29"/>
      <c r="AB177" s="29"/>
      <c r="AC177" s="29"/>
      <c r="AD177" s="29"/>
      <c r="AE177" s="29"/>
      <c r="AF177" s="29"/>
    </row>
    <row r="178" ht="23.25" customHeight="1">
      <c r="A178" s="29"/>
      <c r="B178" s="29"/>
      <c r="C178" s="29"/>
      <c r="D178" s="2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60"/>
      <c r="U178" s="160"/>
      <c r="V178" s="160"/>
      <c r="W178" s="160"/>
      <c r="X178" s="160"/>
      <c r="Y178" s="160"/>
      <c r="Z178" s="29"/>
      <c r="AA178" s="29"/>
      <c r="AB178" s="29"/>
      <c r="AC178" s="29"/>
      <c r="AD178" s="29"/>
      <c r="AE178" s="29"/>
      <c r="AF178" s="29"/>
    </row>
    <row r="179" ht="23.25" customHeight="1">
      <c r="A179" s="29"/>
      <c r="B179" s="29"/>
      <c r="C179" s="29"/>
      <c r="D179" s="2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60"/>
      <c r="U179" s="160"/>
      <c r="V179" s="160"/>
      <c r="W179" s="160"/>
      <c r="X179" s="160"/>
      <c r="Y179" s="160"/>
      <c r="Z179" s="29"/>
      <c r="AA179" s="29"/>
      <c r="AB179" s="29"/>
      <c r="AC179" s="29"/>
      <c r="AD179" s="29"/>
      <c r="AE179" s="29"/>
      <c r="AF179" s="29"/>
    </row>
    <row r="180" ht="23.25" customHeight="1">
      <c r="A180" s="29"/>
      <c r="B180" s="29"/>
      <c r="C180" s="29"/>
      <c r="D180" s="2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60"/>
      <c r="U180" s="160"/>
      <c r="V180" s="160"/>
      <c r="W180" s="160"/>
      <c r="X180" s="160"/>
      <c r="Y180" s="160"/>
      <c r="Z180" s="29"/>
      <c r="AA180" s="29"/>
      <c r="AB180" s="29"/>
      <c r="AC180" s="29"/>
      <c r="AD180" s="29"/>
      <c r="AE180" s="29"/>
      <c r="AF180" s="29"/>
    </row>
    <row r="181" ht="23.25" customHeight="1">
      <c r="A181" s="29"/>
      <c r="B181" s="29"/>
      <c r="C181" s="29"/>
      <c r="D181" s="2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60"/>
      <c r="U181" s="160"/>
      <c r="V181" s="160"/>
      <c r="W181" s="160"/>
      <c r="X181" s="160"/>
      <c r="Y181" s="160"/>
      <c r="Z181" s="29"/>
      <c r="AA181" s="29"/>
      <c r="AB181" s="29"/>
      <c r="AC181" s="29"/>
      <c r="AD181" s="29"/>
      <c r="AE181" s="29"/>
      <c r="AF181" s="29"/>
    </row>
    <row r="182" ht="23.25" customHeight="1">
      <c r="A182" s="29"/>
      <c r="B182" s="29"/>
      <c r="C182" s="29"/>
      <c r="D182" s="2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60"/>
      <c r="U182" s="160"/>
      <c r="V182" s="160"/>
      <c r="W182" s="160"/>
      <c r="X182" s="160"/>
      <c r="Y182" s="160"/>
      <c r="Z182" s="29"/>
      <c r="AA182" s="29"/>
      <c r="AB182" s="29"/>
      <c r="AC182" s="29"/>
      <c r="AD182" s="29"/>
      <c r="AE182" s="29"/>
      <c r="AF182" s="29"/>
    </row>
    <row r="183" ht="23.25" customHeight="1">
      <c r="A183" s="29"/>
      <c r="B183" s="29"/>
      <c r="C183" s="29"/>
      <c r="D183" s="2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60"/>
      <c r="U183" s="160"/>
      <c r="V183" s="160"/>
      <c r="W183" s="160"/>
      <c r="X183" s="160"/>
      <c r="Y183" s="160"/>
      <c r="Z183" s="29"/>
      <c r="AA183" s="29"/>
      <c r="AB183" s="29"/>
      <c r="AC183" s="29"/>
      <c r="AD183" s="29"/>
      <c r="AE183" s="29"/>
      <c r="AF183" s="29"/>
    </row>
    <row r="184" ht="23.25" customHeight="1">
      <c r="A184" s="29"/>
      <c r="B184" s="29"/>
      <c r="C184" s="29"/>
      <c r="D184" s="2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60"/>
      <c r="U184" s="160"/>
      <c r="V184" s="160"/>
      <c r="W184" s="160"/>
      <c r="X184" s="160"/>
      <c r="Y184" s="160"/>
      <c r="Z184" s="29"/>
      <c r="AA184" s="29"/>
      <c r="AB184" s="29"/>
      <c r="AC184" s="29"/>
      <c r="AD184" s="29"/>
      <c r="AE184" s="29"/>
      <c r="AF184" s="29"/>
    </row>
    <row r="185" ht="23.25" customHeight="1">
      <c r="A185" s="29"/>
      <c r="B185" s="29"/>
      <c r="C185" s="29"/>
      <c r="D185" s="2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60"/>
      <c r="U185" s="160"/>
      <c r="V185" s="160"/>
      <c r="W185" s="160"/>
      <c r="X185" s="160"/>
      <c r="Y185" s="160"/>
      <c r="Z185" s="29"/>
      <c r="AA185" s="29"/>
      <c r="AB185" s="29"/>
      <c r="AC185" s="29"/>
      <c r="AD185" s="29"/>
      <c r="AE185" s="29"/>
      <c r="AF185" s="29"/>
    </row>
    <row r="186" ht="23.25" customHeight="1">
      <c r="A186" s="29"/>
      <c r="B186" s="29"/>
      <c r="C186" s="29"/>
      <c r="D186" s="2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60"/>
      <c r="U186" s="160"/>
      <c r="V186" s="160"/>
      <c r="W186" s="160"/>
      <c r="X186" s="160"/>
      <c r="Y186" s="160"/>
      <c r="Z186" s="29"/>
      <c r="AA186" s="29"/>
      <c r="AB186" s="29"/>
      <c r="AC186" s="29"/>
      <c r="AD186" s="29"/>
      <c r="AE186" s="29"/>
      <c r="AF186" s="29"/>
    </row>
    <row r="187" ht="23.25" customHeight="1">
      <c r="A187" s="29"/>
      <c r="B187" s="29"/>
      <c r="C187" s="29"/>
      <c r="D187" s="2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60"/>
      <c r="U187" s="160"/>
      <c r="V187" s="160"/>
      <c r="W187" s="160"/>
      <c r="X187" s="160"/>
      <c r="Y187" s="160"/>
      <c r="Z187" s="29"/>
      <c r="AA187" s="29"/>
      <c r="AB187" s="29"/>
      <c r="AC187" s="29"/>
      <c r="AD187" s="29"/>
      <c r="AE187" s="29"/>
      <c r="AF187" s="29"/>
    </row>
    <row r="188" ht="23.25" customHeight="1">
      <c r="A188" s="29"/>
      <c r="B188" s="29"/>
      <c r="C188" s="29"/>
      <c r="D188" s="2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60"/>
      <c r="U188" s="160"/>
      <c r="V188" s="160"/>
      <c r="W188" s="160"/>
      <c r="X188" s="160"/>
      <c r="Y188" s="160"/>
      <c r="Z188" s="29"/>
      <c r="AA188" s="29"/>
      <c r="AB188" s="29"/>
      <c r="AC188" s="29"/>
      <c r="AD188" s="29"/>
      <c r="AE188" s="29"/>
      <c r="AF188" s="29"/>
    </row>
    <row r="189" ht="23.25" customHeight="1">
      <c r="A189" s="29"/>
      <c r="B189" s="29"/>
      <c r="C189" s="29"/>
      <c r="D189" s="2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60"/>
      <c r="U189" s="160"/>
      <c r="V189" s="160"/>
      <c r="W189" s="160"/>
      <c r="X189" s="160"/>
      <c r="Y189" s="160"/>
      <c r="Z189" s="29"/>
      <c r="AA189" s="29"/>
      <c r="AB189" s="29"/>
      <c r="AC189" s="29"/>
      <c r="AD189" s="29"/>
      <c r="AE189" s="29"/>
      <c r="AF189" s="29"/>
    </row>
    <row r="190" ht="23.25" customHeight="1">
      <c r="A190" s="29"/>
      <c r="B190" s="29"/>
      <c r="C190" s="29"/>
      <c r="D190" s="2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60"/>
      <c r="U190" s="160"/>
      <c r="V190" s="160"/>
      <c r="W190" s="160"/>
      <c r="X190" s="160"/>
      <c r="Y190" s="160"/>
      <c r="Z190" s="29"/>
      <c r="AA190" s="29"/>
      <c r="AB190" s="29"/>
      <c r="AC190" s="29"/>
      <c r="AD190" s="29"/>
      <c r="AE190" s="29"/>
      <c r="AF190" s="29"/>
    </row>
    <row r="191" ht="23.25" customHeight="1">
      <c r="A191" s="29"/>
      <c r="B191" s="29"/>
      <c r="C191" s="29"/>
      <c r="D191" s="2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60"/>
      <c r="U191" s="160"/>
      <c r="V191" s="160"/>
      <c r="W191" s="160"/>
      <c r="X191" s="160"/>
      <c r="Y191" s="160"/>
      <c r="Z191" s="29"/>
      <c r="AA191" s="29"/>
      <c r="AB191" s="29"/>
      <c r="AC191" s="29"/>
      <c r="AD191" s="29"/>
      <c r="AE191" s="29"/>
      <c r="AF191" s="29"/>
    </row>
    <row r="192" ht="23.25" customHeight="1">
      <c r="A192" s="29"/>
      <c r="B192" s="29"/>
      <c r="C192" s="29"/>
      <c r="D192" s="2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60"/>
      <c r="U192" s="160"/>
      <c r="V192" s="160"/>
      <c r="W192" s="160"/>
      <c r="X192" s="160"/>
      <c r="Y192" s="160"/>
      <c r="Z192" s="29"/>
      <c r="AA192" s="29"/>
      <c r="AB192" s="29"/>
      <c r="AC192" s="29"/>
      <c r="AD192" s="29"/>
      <c r="AE192" s="29"/>
      <c r="AF192" s="29"/>
    </row>
    <row r="193" ht="23.25" customHeight="1">
      <c r="A193" s="29"/>
      <c r="B193" s="29"/>
      <c r="C193" s="29"/>
      <c r="D193" s="2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60"/>
      <c r="U193" s="160"/>
      <c r="V193" s="160"/>
      <c r="W193" s="160"/>
      <c r="X193" s="160"/>
      <c r="Y193" s="160"/>
      <c r="Z193" s="29"/>
      <c r="AA193" s="29"/>
      <c r="AB193" s="29"/>
      <c r="AC193" s="29"/>
      <c r="AD193" s="29"/>
      <c r="AE193" s="29"/>
      <c r="AF193" s="29"/>
    </row>
    <row r="194" ht="23.25" customHeight="1">
      <c r="A194" s="29"/>
      <c r="B194" s="29"/>
      <c r="C194" s="29"/>
      <c r="D194" s="2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60"/>
      <c r="U194" s="160"/>
      <c r="V194" s="160"/>
      <c r="W194" s="160"/>
      <c r="X194" s="160"/>
      <c r="Y194" s="160"/>
      <c r="Z194" s="29"/>
      <c r="AA194" s="29"/>
      <c r="AB194" s="29"/>
      <c r="AC194" s="29"/>
      <c r="AD194" s="29"/>
      <c r="AE194" s="29"/>
      <c r="AF194" s="29"/>
    </row>
    <row r="195" ht="23.25" customHeight="1">
      <c r="A195" s="29"/>
      <c r="B195" s="29"/>
      <c r="C195" s="29"/>
      <c r="D195" s="2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60"/>
      <c r="U195" s="160"/>
      <c r="V195" s="160"/>
      <c r="W195" s="160"/>
      <c r="X195" s="160"/>
      <c r="Y195" s="160"/>
      <c r="Z195" s="29"/>
      <c r="AA195" s="29"/>
      <c r="AB195" s="29"/>
      <c r="AC195" s="29"/>
      <c r="AD195" s="29"/>
      <c r="AE195" s="29"/>
      <c r="AF195" s="29"/>
    </row>
    <row r="196" ht="23.25" customHeight="1">
      <c r="A196" s="29"/>
      <c r="B196" s="29"/>
      <c r="C196" s="29"/>
      <c r="D196" s="2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60"/>
      <c r="U196" s="160"/>
      <c r="V196" s="160"/>
      <c r="W196" s="160"/>
      <c r="X196" s="160"/>
      <c r="Y196" s="160"/>
      <c r="Z196" s="29"/>
      <c r="AA196" s="29"/>
      <c r="AB196" s="29"/>
      <c r="AC196" s="29"/>
      <c r="AD196" s="29"/>
      <c r="AE196" s="29"/>
      <c r="AF196" s="29"/>
    </row>
    <row r="197" ht="23.25" customHeight="1">
      <c r="A197" s="29"/>
      <c r="B197" s="29"/>
      <c r="C197" s="29"/>
      <c r="D197" s="2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60"/>
      <c r="U197" s="160"/>
      <c r="V197" s="160"/>
      <c r="W197" s="160"/>
      <c r="X197" s="160"/>
      <c r="Y197" s="160"/>
      <c r="Z197" s="29"/>
      <c r="AA197" s="29"/>
      <c r="AB197" s="29"/>
      <c r="AC197" s="29"/>
      <c r="AD197" s="29"/>
      <c r="AE197" s="29"/>
      <c r="AF197" s="29"/>
    </row>
    <row r="198" ht="23.25" customHeight="1">
      <c r="A198" s="29"/>
      <c r="B198" s="29"/>
      <c r="C198" s="29"/>
      <c r="D198" s="2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60"/>
      <c r="U198" s="160"/>
      <c r="V198" s="160"/>
      <c r="W198" s="160"/>
      <c r="X198" s="160"/>
      <c r="Y198" s="160"/>
      <c r="Z198" s="29"/>
      <c r="AA198" s="29"/>
      <c r="AB198" s="29"/>
      <c r="AC198" s="29"/>
      <c r="AD198" s="29"/>
      <c r="AE198" s="29"/>
      <c r="AF198" s="29"/>
    </row>
    <row r="199" ht="23.25" customHeight="1">
      <c r="A199" s="29"/>
      <c r="B199" s="29"/>
      <c r="C199" s="29"/>
      <c r="D199" s="2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60"/>
      <c r="U199" s="160"/>
      <c r="V199" s="160"/>
      <c r="W199" s="160"/>
      <c r="X199" s="160"/>
      <c r="Y199" s="160"/>
      <c r="Z199" s="29"/>
      <c r="AA199" s="29"/>
      <c r="AB199" s="29"/>
      <c r="AC199" s="29"/>
      <c r="AD199" s="29"/>
      <c r="AE199" s="29"/>
      <c r="AF199" s="29"/>
    </row>
    <row r="200" ht="23.25" customHeight="1">
      <c r="A200" s="29"/>
      <c r="B200" s="29"/>
      <c r="C200" s="29"/>
      <c r="D200" s="2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60"/>
      <c r="U200" s="160"/>
      <c r="V200" s="160"/>
      <c r="W200" s="160"/>
      <c r="X200" s="160"/>
      <c r="Y200" s="160"/>
      <c r="Z200" s="29"/>
      <c r="AA200" s="29"/>
      <c r="AB200" s="29"/>
      <c r="AC200" s="29"/>
      <c r="AD200" s="29"/>
      <c r="AE200" s="29"/>
      <c r="AF200" s="29"/>
    </row>
    <row r="201" ht="23.25" customHeight="1">
      <c r="A201" s="29"/>
      <c r="B201" s="29"/>
      <c r="C201" s="29"/>
      <c r="D201" s="2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60"/>
      <c r="U201" s="160"/>
      <c r="V201" s="160"/>
      <c r="W201" s="160"/>
      <c r="X201" s="160"/>
      <c r="Y201" s="160"/>
      <c r="Z201" s="29"/>
      <c r="AA201" s="29"/>
      <c r="AB201" s="29"/>
      <c r="AC201" s="29"/>
      <c r="AD201" s="29"/>
      <c r="AE201" s="29"/>
      <c r="AF201" s="29"/>
    </row>
    <row r="202" ht="23.25" customHeight="1">
      <c r="A202" s="29"/>
      <c r="B202" s="29"/>
      <c r="C202" s="29"/>
      <c r="D202" s="2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60"/>
      <c r="U202" s="160"/>
      <c r="V202" s="160"/>
      <c r="W202" s="160"/>
      <c r="X202" s="160"/>
      <c r="Y202" s="160"/>
      <c r="Z202" s="29"/>
      <c r="AA202" s="29"/>
      <c r="AB202" s="29"/>
      <c r="AC202" s="29"/>
      <c r="AD202" s="29"/>
      <c r="AE202" s="29"/>
      <c r="AF202" s="29"/>
    </row>
    <row r="203" ht="23.25" customHeight="1">
      <c r="A203" s="29"/>
      <c r="B203" s="29"/>
      <c r="C203" s="29"/>
      <c r="D203" s="2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60"/>
      <c r="U203" s="160"/>
      <c r="V203" s="160"/>
      <c r="W203" s="160"/>
      <c r="X203" s="160"/>
      <c r="Y203" s="160"/>
      <c r="Z203" s="29"/>
      <c r="AA203" s="29"/>
      <c r="AB203" s="29"/>
      <c r="AC203" s="29"/>
      <c r="AD203" s="29"/>
      <c r="AE203" s="29"/>
      <c r="AF203" s="29"/>
    </row>
    <row r="204" ht="23.25" customHeight="1">
      <c r="A204" s="29"/>
      <c r="B204" s="29"/>
      <c r="C204" s="29"/>
      <c r="D204" s="2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60"/>
      <c r="U204" s="160"/>
      <c r="V204" s="160"/>
      <c r="W204" s="160"/>
      <c r="X204" s="160"/>
      <c r="Y204" s="160"/>
      <c r="Z204" s="29"/>
      <c r="AA204" s="29"/>
      <c r="AB204" s="29"/>
      <c r="AC204" s="29"/>
      <c r="AD204" s="29"/>
      <c r="AE204" s="29"/>
      <c r="AF204" s="29"/>
    </row>
    <row r="205" ht="23.25" customHeight="1">
      <c r="A205" s="29"/>
      <c r="B205" s="29"/>
      <c r="C205" s="29"/>
      <c r="D205" s="2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60"/>
      <c r="U205" s="160"/>
      <c r="V205" s="160"/>
      <c r="W205" s="160"/>
      <c r="X205" s="160"/>
      <c r="Y205" s="160"/>
      <c r="Z205" s="29"/>
      <c r="AA205" s="29"/>
      <c r="AB205" s="29"/>
      <c r="AC205" s="29"/>
      <c r="AD205" s="29"/>
      <c r="AE205" s="29"/>
      <c r="AF205" s="29"/>
    </row>
    <row r="206" ht="23.25" customHeight="1">
      <c r="A206" s="29"/>
      <c r="B206" s="29"/>
      <c r="C206" s="29"/>
      <c r="D206" s="2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60"/>
      <c r="U206" s="160"/>
      <c r="V206" s="160"/>
      <c r="W206" s="160"/>
      <c r="X206" s="160"/>
      <c r="Y206" s="160"/>
      <c r="Z206" s="29"/>
      <c r="AA206" s="29"/>
      <c r="AB206" s="29"/>
      <c r="AC206" s="29"/>
      <c r="AD206" s="29"/>
      <c r="AE206" s="29"/>
      <c r="AF206" s="29"/>
    </row>
    <row r="207" ht="23.25" customHeight="1">
      <c r="A207" s="29"/>
      <c r="B207" s="29"/>
      <c r="C207" s="29"/>
      <c r="D207" s="2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60"/>
      <c r="U207" s="160"/>
      <c r="V207" s="160"/>
      <c r="W207" s="160"/>
      <c r="X207" s="160"/>
      <c r="Y207" s="160"/>
      <c r="Z207" s="29"/>
      <c r="AA207" s="29"/>
      <c r="AB207" s="29"/>
      <c r="AC207" s="29"/>
      <c r="AD207" s="29"/>
      <c r="AE207" s="29"/>
      <c r="AF207" s="29"/>
    </row>
    <row r="208" ht="23.25" customHeight="1">
      <c r="A208" s="29"/>
      <c r="B208" s="29"/>
      <c r="C208" s="29"/>
      <c r="D208" s="2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60"/>
      <c r="U208" s="160"/>
      <c r="V208" s="160"/>
      <c r="W208" s="160"/>
      <c r="X208" s="160"/>
      <c r="Y208" s="160"/>
      <c r="Z208" s="29"/>
      <c r="AA208" s="29"/>
      <c r="AB208" s="29"/>
      <c r="AC208" s="29"/>
      <c r="AD208" s="29"/>
      <c r="AE208" s="29"/>
      <c r="AF208" s="29"/>
    </row>
    <row r="209" ht="23.25" customHeight="1">
      <c r="A209" s="29"/>
      <c r="B209" s="29"/>
      <c r="C209" s="29"/>
      <c r="D209" s="2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60"/>
      <c r="U209" s="160"/>
      <c r="V209" s="160"/>
      <c r="W209" s="160"/>
      <c r="X209" s="160"/>
      <c r="Y209" s="160"/>
      <c r="Z209" s="29"/>
      <c r="AA209" s="29"/>
      <c r="AB209" s="29"/>
      <c r="AC209" s="29"/>
      <c r="AD209" s="29"/>
      <c r="AE209" s="29"/>
      <c r="AF209" s="29"/>
    </row>
    <row r="210" ht="23.25" customHeight="1">
      <c r="A210" s="29"/>
      <c r="B210" s="29"/>
      <c r="C210" s="29"/>
      <c r="D210" s="2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60"/>
      <c r="U210" s="160"/>
      <c r="V210" s="160"/>
      <c r="W210" s="160"/>
      <c r="X210" s="160"/>
      <c r="Y210" s="160"/>
      <c r="Z210" s="29"/>
      <c r="AA210" s="29"/>
      <c r="AB210" s="29"/>
      <c r="AC210" s="29"/>
      <c r="AD210" s="29"/>
      <c r="AE210" s="29"/>
      <c r="AF210" s="29"/>
    </row>
    <row r="211" ht="23.25" customHeight="1">
      <c r="A211" s="29"/>
      <c r="B211" s="29"/>
      <c r="C211" s="29"/>
      <c r="D211" s="2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60"/>
      <c r="U211" s="160"/>
      <c r="V211" s="160"/>
      <c r="W211" s="160"/>
      <c r="X211" s="160"/>
      <c r="Y211" s="160"/>
      <c r="Z211" s="29"/>
      <c r="AA211" s="29"/>
      <c r="AB211" s="29"/>
      <c r="AC211" s="29"/>
      <c r="AD211" s="29"/>
      <c r="AE211" s="29"/>
      <c r="AF211" s="29"/>
    </row>
    <row r="212" ht="23.25" customHeight="1">
      <c r="A212" s="29"/>
      <c r="B212" s="29"/>
      <c r="C212" s="29"/>
      <c r="D212" s="2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60"/>
      <c r="U212" s="160"/>
      <c r="V212" s="160"/>
      <c r="W212" s="160"/>
      <c r="X212" s="160"/>
      <c r="Y212" s="160"/>
      <c r="Z212" s="29"/>
      <c r="AA212" s="29"/>
      <c r="AB212" s="29"/>
      <c r="AC212" s="29"/>
      <c r="AD212" s="29"/>
      <c r="AE212" s="29"/>
      <c r="AF212" s="29"/>
    </row>
    <row r="213" ht="23.25" customHeight="1">
      <c r="A213" s="29"/>
      <c r="B213" s="29"/>
      <c r="C213" s="29"/>
      <c r="D213" s="2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60"/>
      <c r="U213" s="160"/>
      <c r="V213" s="160"/>
      <c r="W213" s="160"/>
      <c r="X213" s="160"/>
      <c r="Y213" s="160"/>
      <c r="Z213" s="29"/>
      <c r="AA213" s="29"/>
      <c r="AB213" s="29"/>
      <c r="AC213" s="29"/>
      <c r="AD213" s="29"/>
      <c r="AE213" s="29"/>
      <c r="AF213" s="29"/>
    </row>
    <row r="214" ht="23.25" customHeight="1">
      <c r="A214" s="29"/>
      <c r="B214" s="29"/>
      <c r="C214" s="29"/>
      <c r="D214" s="2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60"/>
      <c r="U214" s="160"/>
      <c r="V214" s="160"/>
      <c r="W214" s="160"/>
      <c r="X214" s="160"/>
      <c r="Y214" s="160"/>
      <c r="Z214" s="29"/>
      <c r="AA214" s="29"/>
      <c r="AB214" s="29"/>
      <c r="AC214" s="29"/>
      <c r="AD214" s="29"/>
      <c r="AE214" s="29"/>
      <c r="AF214" s="29"/>
    </row>
    <row r="215" ht="23.25" customHeight="1">
      <c r="A215" s="29"/>
      <c r="B215" s="29"/>
      <c r="C215" s="29"/>
      <c r="D215" s="2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60"/>
      <c r="U215" s="160"/>
      <c r="V215" s="160"/>
      <c r="W215" s="160"/>
      <c r="X215" s="160"/>
      <c r="Y215" s="160"/>
      <c r="Z215" s="29"/>
      <c r="AA215" s="29"/>
      <c r="AB215" s="29"/>
      <c r="AC215" s="29"/>
      <c r="AD215" s="29"/>
      <c r="AE215" s="29"/>
      <c r="AF215" s="29"/>
    </row>
    <row r="216" ht="23.25" customHeight="1">
      <c r="A216" s="29"/>
      <c r="B216" s="29"/>
      <c r="C216" s="29"/>
      <c r="D216" s="2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60"/>
      <c r="U216" s="160"/>
      <c r="V216" s="160"/>
      <c r="W216" s="160"/>
      <c r="X216" s="160"/>
      <c r="Y216" s="160"/>
      <c r="Z216" s="29"/>
      <c r="AA216" s="29"/>
      <c r="AB216" s="29"/>
      <c r="AC216" s="29"/>
      <c r="AD216" s="29"/>
      <c r="AE216" s="29"/>
      <c r="AF216" s="29"/>
    </row>
    <row r="217" ht="23.25" customHeight="1">
      <c r="A217" s="29"/>
      <c r="B217" s="29"/>
      <c r="C217" s="29"/>
      <c r="D217" s="2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60"/>
      <c r="U217" s="160"/>
      <c r="V217" s="160"/>
      <c r="W217" s="160"/>
      <c r="X217" s="160"/>
      <c r="Y217" s="160"/>
      <c r="Z217" s="29"/>
      <c r="AA217" s="29"/>
      <c r="AB217" s="29"/>
      <c r="AC217" s="29"/>
      <c r="AD217" s="29"/>
      <c r="AE217" s="29"/>
      <c r="AF217" s="29"/>
    </row>
    <row r="218" ht="23.25" customHeight="1">
      <c r="A218" s="29"/>
      <c r="B218" s="29"/>
      <c r="C218" s="29"/>
      <c r="D218" s="2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60"/>
      <c r="U218" s="160"/>
      <c r="V218" s="160"/>
      <c r="W218" s="160"/>
      <c r="X218" s="160"/>
      <c r="Y218" s="160"/>
      <c r="Z218" s="29"/>
      <c r="AA218" s="29"/>
      <c r="AB218" s="29"/>
      <c r="AC218" s="29"/>
      <c r="AD218" s="29"/>
      <c r="AE218" s="29"/>
      <c r="AF218" s="29"/>
    </row>
    <row r="219" ht="23.25" customHeight="1">
      <c r="A219" s="29"/>
      <c r="B219" s="29"/>
      <c r="C219" s="29"/>
      <c r="D219" s="2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60"/>
      <c r="U219" s="160"/>
      <c r="V219" s="160"/>
      <c r="W219" s="160"/>
      <c r="X219" s="160"/>
      <c r="Y219" s="160"/>
      <c r="Z219" s="29"/>
      <c r="AA219" s="29"/>
      <c r="AB219" s="29"/>
      <c r="AC219" s="29"/>
      <c r="AD219" s="29"/>
      <c r="AE219" s="29"/>
      <c r="AF219" s="29"/>
    </row>
    <row r="220" ht="23.25" customHeight="1">
      <c r="A220" s="29"/>
      <c r="B220" s="29"/>
      <c r="C220" s="29"/>
      <c r="D220" s="2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60"/>
      <c r="U220" s="160"/>
      <c r="V220" s="160"/>
      <c r="W220" s="160"/>
      <c r="X220" s="160"/>
      <c r="Y220" s="160"/>
      <c r="Z220" s="29"/>
      <c r="AA220" s="29"/>
      <c r="AB220" s="29"/>
      <c r="AC220" s="29"/>
      <c r="AD220" s="29"/>
      <c r="AE220" s="29"/>
      <c r="AF220" s="29"/>
    </row>
    <row r="221" ht="23.25" customHeight="1">
      <c r="A221" s="29"/>
      <c r="B221" s="29"/>
      <c r="C221" s="29"/>
      <c r="D221" s="2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60"/>
      <c r="U221" s="160"/>
      <c r="V221" s="160"/>
      <c r="W221" s="160"/>
      <c r="X221" s="160"/>
      <c r="Y221" s="160"/>
      <c r="Z221" s="29"/>
      <c r="AA221" s="29"/>
      <c r="AB221" s="29"/>
      <c r="AC221" s="29"/>
      <c r="AD221" s="29"/>
      <c r="AE221" s="29"/>
      <c r="AF221" s="29"/>
    </row>
    <row r="222" ht="23.25" customHeight="1">
      <c r="A222" s="29"/>
      <c r="B222" s="29"/>
      <c r="C222" s="29"/>
      <c r="D222" s="2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60"/>
      <c r="U222" s="160"/>
      <c r="V222" s="160"/>
      <c r="W222" s="160"/>
      <c r="X222" s="160"/>
      <c r="Y222" s="160"/>
      <c r="Z222" s="29"/>
      <c r="AA222" s="29"/>
      <c r="AB222" s="29"/>
      <c r="AC222" s="29"/>
      <c r="AD222" s="29"/>
      <c r="AE222" s="29"/>
      <c r="AF222" s="29"/>
    </row>
    <row r="223" ht="23.25" customHeight="1">
      <c r="A223" s="29"/>
      <c r="B223" s="29"/>
      <c r="C223" s="29"/>
      <c r="D223" s="2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60"/>
      <c r="U223" s="160"/>
      <c r="V223" s="160"/>
      <c r="W223" s="160"/>
      <c r="X223" s="160"/>
      <c r="Y223" s="160"/>
      <c r="Z223" s="29"/>
      <c r="AA223" s="29"/>
      <c r="AB223" s="29"/>
      <c r="AC223" s="29"/>
      <c r="AD223" s="29"/>
      <c r="AE223" s="29"/>
      <c r="AF223" s="29"/>
    </row>
    <row r="224" ht="23.25" customHeight="1">
      <c r="A224" s="29"/>
      <c r="B224" s="29"/>
      <c r="C224" s="29"/>
      <c r="D224" s="2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60"/>
      <c r="U224" s="160"/>
      <c r="V224" s="160"/>
      <c r="W224" s="160"/>
      <c r="X224" s="160"/>
      <c r="Y224" s="160"/>
      <c r="Z224" s="29"/>
      <c r="AA224" s="29"/>
      <c r="AB224" s="29"/>
      <c r="AC224" s="29"/>
      <c r="AD224" s="29"/>
      <c r="AE224" s="29"/>
      <c r="AF224" s="29"/>
    </row>
    <row r="225" ht="23.25" customHeight="1">
      <c r="A225" s="29"/>
      <c r="B225" s="29"/>
      <c r="C225" s="29"/>
      <c r="D225" s="2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60"/>
      <c r="U225" s="160"/>
      <c r="V225" s="160"/>
      <c r="W225" s="160"/>
      <c r="X225" s="160"/>
      <c r="Y225" s="160"/>
      <c r="Z225" s="29"/>
      <c r="AA225" s="29"/>
      <c r="AB225" s="29"/>
      <c r="AC225" s="29"/>
      <c r="AD225" s="29"/>
      <c r="AE225" s="29"/>
      <c r="AF225" s="29"/>
    </row>
    <row r="226" ht="23.25" customHeight="1">
      <c r="A226" s="29"/>
      <c r="B226" s="29"/>
      <c r="C226" s="29"/>
      <c r="D226" s="2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60"/>
      <c r="U226" s="160"/>
      <c r="V226" s="160"/>
      <c r="W226" s="160"/>
      <c r="X226" s="160"/>
      <c r="Y226" s="160"/>
      <c r="Z226" s="29"/>
      <c r="AA226" s="29"/>
      <c r="AB226" s="29"/>
      <c r="AC226" s="29"/>
      <c r="AD226" s="29"/>
      <c r="AE226" s="29"/>
      <c r="AF226" s="29"/>
    </row>
    <row r="227" ht="23.25" customHeight="1">
      <c r="A227" s="29"/>
      <c r="B227" s="29"/>
      <c r="C227" s="29"/>
      <c r="D227" s="2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60"/>
      <c r="U227" s="160"/>
      <c r="V227" s="160"/>
      <c r="W227" s="160"/>
      <c r="X227" s="160"/>
      <c r="Y227" s="160"/>
      <c r="Z227" s="29"/>
      <c r="AA227" s="29"/>
      <c r="AB227" s="29"/>
      <c r="AC227" s="29"/>
      <c r="AD227" s="29"/>
      <c r="AE227" s="29"/>
      <c r="AF227" s="29"/>
    </row>
    <row r="228" ht="23.25" customHeight="1">
      <c r="A228" s="29"/>
      <c r="B228" s="29"/>
      <c r="C228" s="29"/>
      <c r="D228" s="2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60"/>
      <c r="U228" s="160"/>
      <c r="V228" s="160"/>
      <c r="W228" s="160"/>
      <c r="X228" s="160"/>
      <c r="Y228" s="160"/>
      <c r="Z228" s="29"/>
      <c r="AA228" s="29"/>
      <c r="AB228" s="29"/>
      <c r="AC228" s="29"/>
      <c r="AD228" s="29"/>
      <c r="AE228" s="29"/>
      <c r="AF228" s="29"/>
    </row>
    <row r="229" ht="23.25" customHeight="1">
      <c r="A229" s="29"/>
      <c r="B229" s="29"/>
      <c r="C229" s="29"/>
      <c r="D229" s="2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60"/>
      <c r="U229" s="160"/>
      <c r="V229" s="160"/>
      <c r="W229" s="160"/>
      <c r="X229" s="160"/>
      <c r="Y229" s="160"/>
      <c r="Z229" s="29"/>
      <c r="AA229" s="29"/>
      <c r="AB229" s="29"/>
      <c r="AC229" s="29"/>
      <c r="AD229" s="29"/>
      <c r="AE229" s="29"/>
      <c r="AF229" s="29"/>
    </row>
    <row r="230" ht="23.25" customHeight="1">
      <c r="A230" s="29"/>
      <c r="B230" s="29"/>
      <c r="C230" s="29"/>
      <c r="D230" s="2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60"/>
      <c r="U230" s="160"/>
      <c r="V230" s="160"/>
      <c r="W230" s="160"/>
      <c r="X230" s="160"/>
      <c r="Y230" s="160"/>
      <c r="Z230" s="29"/>
      <c r="AA230" s="29"/>
      <c r="AB230" s="29"/>
      <c r="AC230" s="29"/>
      <c r="AD230" s="29"/>
      <c r="AE230" s="29"/>
      <c r="AF230" s="29"/>
    </row>
    <row r="231" ht="23.25" customHeight="1">
      <c r="A231" s="29"/>
      <c r="B231" s="29"/>
      <c r="C231" s="29"/>
      <c r="D231" s="2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60"/>
      <c r="U231" s="160"/>
      <c r="V231" s="160"/>
      <c r="W231" s="160"/>
      <c r="X231" s="160"/>
      <c r="Y231" s="160"/>
      <c r="Z231" s="29"/>
      <c r="AA231" s="29"/>
      <c r="AB231" s="29"/>
      <c r="AC231" s="29"/>
      <c r="AD231" s="29"/>
      <c r="AE231" s="29"/>
      <c r="AF231" s="29"/>
    </row>
    <row r="232" ht="23.25" customHeight="1">
      <c r="A232" s="29"/>
      <c r="B232" s="29"/>
      <c r="C232" s="29"/>
      <c r="D232" s="2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60"/>
      <c r="U232" s="160"/>
      <c r="V232" s="160"/>
      <c r="W232" s="160"/>
      <c r="X232" s="160"/>
      <c r="Y232" s="160"/>
      <c r="Z232" s="29"/>
      <c r="AA232" s="29"/>
      <c r="AB232" s="29"/>
      <c r="AC232" s="29"/>
      <c r="AD232" s="29"/>
      <c r="AE232" s="29"/>
      <c r="AF232" s="29"/>
    </row>
    <row r="233" ht="23.25" customHeight="1">
      <c r="A233" s="29"/>
      <c r="B233" s="29"/>
      <c r="C233" s="29"/>
      <c r="D233" s="2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60"/>
      <c r="U233" s="160"/>
      <c r="V233" s="160"/>
      <c r="W233" s="160"/>
      <c r="X233" s="160"/>
      <c r="Y233" s="160"/>
      <c r="Z233" s="29"/>
      <c r="AA233" s="29"/>
      <c r="AB233" s="29"/>
      <c r="AC233" s="29"/>
      <c r="AD233" s="29"/>
      <c r="AE233" s="29"/>
      <c r="AF233" s="29"/>
    </row>
    <row r="234" ht="23.25" customHeight="1">
      <c r="A234" s="29"/>
      <c r="B234" s="29"/>
      <c r="C234" s="29"/>
      <c r="D234" s="2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60"/>
      <c r="U234" s="160"/>
      <c r="V234" s="160"/>
      <c r="W234" s="160"/>
      <c r="X234" s="160"/>
      <c r="Y234" s="160"/>
      <c r="Z234" s="29"/>
      <c r="AA234" s="29"/>
      <c r="AB234" s="29"/>
      <c r="AC234" s="29"/>
      <c r="AD234" s="29"/>
      <c r="AE234" s="29"/>
      <c r="AF234" s="29"/>
    </row>
    <row r="235" ht="23.25" customHeight="1">
      <c r="A235" s="29"/>
      <c r="B235" s="29"/>
      <c r="C235" s="29"/>
      <c r="D235" s="2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60"/>
      <c r="U235" s="160"/>
      <c r="V235" s="160"/>
      <c r="W235" s="160"/>
      <c r="X235" s="160"/>
      <c r="Y235" s="160"/>
      <c r="Z235" s="29"/>
      <c r="AA235" s="29"/>
      <c r="AB235" s="29"/>
      <c r="AC235" s="29"/>
      <c r="AD235" s="29"/>
      <c r="AE235" s="29"/>
      <c r="AF235" s="29"/>
    </row>
    <row r="236" ht="23.25" customHeight="1">
      <c r="A236" s="29"/>
      <c r="B236" s="29"/>
      <c r="C236" s="29"/>
      <c r="D236" s="2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60"/>
      <c r="U236" s="160"/>
      <c r="V236" s="160"/>
      <c r="W236" s="160"/>
      <c r="X236" s="160"/>
      <c r="Y236" s="160"/>
      <c r="Z236" s="29"/>
      <c r="AA236" s="29"/>
      <c r="AB236" s="29"/>
      <c r="AC236" s="29"/>
      <c r="AD236" s="29"/>
      <c r="AE236" s="29"/>
      <c r="AF236" s="29"/>
    </row>
    <row r="237" ht="23.25" customHeight="1">
      <c r="A237" s="29"/>
      <c r="B237" s="29"/>
      <c r="C237" s="29"/>
      <c r="D237" s="2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60"/>
      <c r="U237" s="160"/>
      <c r="V237" s="160"/>
      <c r="W237" s="160"/>
      <c r="X237" s="160"/>
      <c r="Y237" s="160"/>
      <c r="Z237" s="29"/>
      <c r="AA237" s="29"/>
      <c r="AB237" s="29"/>
      <c r="AC237" s="29"/>
      <c r="AD237" s="29"/>
      <c r="AE237" s="29"/>
      <c r="AF237" s="29"/>
    </row>
    <row r="238" ht="23.25" customHeight="1">
      <c r="A238" s="29"/>
      <c r="B238" s="29"/>
      <c r="C238" s="29"/>
      <c r="D238" s="2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60"/>
      <c r="U238" s="160"/>
      <c r="V238" s="160"/>
      <c r="W238" s="160"/>
      <c r="X238" s="160"/>
      <c r="Y238" s="160"/>
      <c r="Z238" s="29"/>
      <c r="AA238" s="29"/>
      <c r="AB238" s="29"/>
      <c r="AC238" s="29"/>
      <c r="AD238" s="29"/>
      <c r="AE238" s="29"/>
      <c r="AF238" s="29"/>
    </row>
    <row r="239" ht="23.25" customHeight="1">
      <c r="A239" s="29"/>
      <c r="B239" s="29"/>
      <c r="C239" s="29"/>
      <c r="D239" s="2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60"/>
      <c r="U239" s="160"/>
      <c r="V239" s="160"/>
      <c r="W239" s="160"/>
      <c r="X239" s="160"/>
      <c r="Y239" s="160"/>
      <c r="Z239" s="29"/>
      <c r="AA239" s="29"/>
      <c r="AB239" s="29"/>
      <c r="AC239" s="29"/>
      <c r="AD239" s="29"/>
      <c r="AE239" s="29"/>
      <c r="AF239" s="29"/>
    </row>
    <row r="240" ht="23.25" customHeight="1">
      <c r="A240" s="29"/>
      <c r="B240" s="29"/>
      <c r="C240" s="29"/>
      <c r="D240" s="2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60"/>
      <c r="U240" s="160"/>
      <c r="V240" s="160"/>
      <c r="W240" s="160"/>
      <c r="X240" s="160"/>
      <c r="Y240" s="160"/>
      <c r="Z240" s="29"/>
      <c r="AA240" s="29"/>
      <c r="AB240" s="29"/>
      <c r="AC240" s="29"/>
      <c r="AD240" s="29"/>
      <c r="AE240" s="29"/>
      <c r="AF240" s="29"/>
    </row>
    <row r="241" ht="23.25" customHeight="1">
      <c r="A241" s="29"/>
      <c r="B241" s="29"/>
      <c r="C241" s="29"/>
      <c r="D241" s="2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60"/>
      <c r="U241" s="160"/>
      <c r="V241" s="160"/>
      <c r="W241" s="160"/>
      <c r="X241" s="160"/>
      <c r="Y241" s="160"/>
      <c r="Z241" s="29"/>
      <c r="AA241" s="29"/>
      <c r="AB241" s="29"/>
      <c r="AC241" s="29"/>
      <c r="AD241" s="29"/>
      <c r="AE241" s="29"/>
      <c r="AF241" s="29"/>
    </row>
    <row r="242" ht="23.25" customHeight="1">
      <c r="A242" s="29"/>
      <c r="B242" s="29"/>
      <c r="C242" s="29"/>
      <c r="D242" s="2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60"/>
      <c r="U242" s="160"/>
      <c r="V242" s="160"/>
      <c r="W242" s="160"/>
      <c r="X242" s="160"/>
      <c r="Y242" s="160"/>
      <c r="Z242" s="29"/>
      <c r="AA242" s="29"/>
      <c r="AB242" s="29"/>
      <c r="AC242" s="29"/>
      <c r="AD242" s="29"/>
      <c r="AE242" s="29"/>
      <c r="AF242" s="29"/>
    </row>
    <row r="243" ht="23.25" customHeight="1">
      <c r="A243" s="29"/>
      <c r="B243" s="29"/>
      <c r="C243" s="29"/>
      <c r="D243" s="2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60"/>
      <c r="U243" s="160"/>
      <c r="V243" s="160"/>
      <c r="W243" s="160"/>
      <c r="X243" s="160"/>
      <c r="Y243" s="160"/>
      <c r="Z243" s="29"/>
      <c r="AA243" s="29"/>
      <c r="AB243" s="29"/>
      <c r="AC243" s="29"/>
      <c r="AD243" s="29"/>
      <c r="AE243" s="29"/>
      <c r="AF243" s="29"/>
    </row>
    <row r="244" ht="23.25" customHeight="1">
      <c r="A244" s="29"/>
      <c r="B244" s="29"/>
      <c r="C244" s="29"/>
      <c r="D244" s="2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60"/>
      <c r="U244" s="160"/>
      <c r="V244" s="160"/>
      <c r="W244" s="160"/>
      <c r="X244" s="160"/>
      <c r="Y244" s="160"/>
      <c r="Z244" s="29"/>
      <c r="AA244" s="29"/>
      <c r="AB244" s="29"/>
      <c r="AC244" s="29"/>
      <c r="AD244" s="29"/>
      <c r="AE244" s="29"/>
      <c r="AF244" s="29"/>
    </row>
    <row r="245" ht="23.25" customHeight="1">
      <c r="A245" s="29"/>
      <c r="B245" s="29"/>
      <c r="C245" s="29"/>
      <c r="D245" s="2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60"/>
      <c r="U245" s="160"/>
      <c r="V245" s="160"/>
      <c r="W245" s="160"/>
      <c r="X245" s="160"/>
      <c r="Y245" s="160"/>
      <c r="Z245" s="29"/>
      <c r="AA245" s="29"/>
      <c r="AB245" s="29"/>
      <c r="AC245" s="29"/>
      <c r="AD245" s="29"/>
      <c r="AE245" s="29"/>
      <c r="AF245" s="29"/>
    </row>
    <row r="246" ht="23.25" customHeight="1">
      <c r="A246" s="29"/>
      <c r="B246" s="29"/>
      <c r="C246" s="29"/>
      <c r="D246" s="2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60"/>
      <c r="U246" s="160"/>
      <c r="V246" s="160"/>
      <c r="W246" s="160"/>
      <c r="X246" s="160"/>
      <c r="Y246" s="160"/>
      <c r="Z246" s="29"/>
      <c r="AA246" s="29"/>
      <c r="AB246" s="29"/>
      <c r="AC246" s="29"/>
      <c r="AD246" s="29"/>
      <c r="AE246" s="29"/>
      <c r="AF246" s="29"/>
    </row>
    <row r="247" ht="23.25" customHeight="1">
      <c r="A247" s="29"/>
      <c r="B247" s="29"/>
      <c r="C247" s="29"/>
      <c r="D247" s="2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60"/>
      <c r="U247" s="160"/>
      <c r="V247" s="160"/>
      <c r="W247" s="160"/>
      <c r="X247" s="160"/>
      <c r="Y247" s="160"/>
      <c r="Z247" s="29"/>
      <c r="AA247" s="29"/>
      <c r="AB247" s="29"/>
      <c r="AC247" s="29"/>
      <c r="AD247" s="29"/>
      <c r="AE247" s="29"/>
      <c r="AF247" s="29"/>
    </row>
    <row r="248" ht="23.25" customHeight="1">
      <c r="A248" s="29"/>
      <c r="B248" s="29"/>
      <c r="C248" s="29"/>
      <c r="D248" s="2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60"/>
      <c r="U248" s="160"/>
      <c r="V248" s="160"/>
      <c r="W248" s="160"/>
      <c r="X248" s="160"/>
      <c r="Y248" s="160"/>
      <c r="Z248" s="29"/>
      <c r="AA248" s="29"/>
      <c r="AB248" s="29"/>
      <c r="AC248" s="29"/>
      <c r="AD248" s="29"/>
      <c r="AE248" s="29"/>
      <c r="AF248" s="29"/>
    </row>
    <row r="249" ht="23.25" customHeight="1">
      <c r="A249" s="29"/>
      <c r="B249" s="29"/>
      <c r="C249" s="29"/>
      <c r="D249" s="2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60"/>
      <c r="U249" s="160"/>
      <c r="V249" s="160"/>
      <c r="W249" s="160"/>
      <c r="X249" s="160"/>
      <c r="Y249" s="160"/>
      <c r="Z249" s="29"/>
      <c r="AA249" s="29"/>
      <c r="AB249" s="29"/>
      <c r="AC249" s="29"/>
      <c r="AD249" s="29"/>
      <c r="AE249" s="29"/>
      <c r="AF249" s="29"/>
    </row>
    <row r="250" ht="23.25" customHeight="1">
      <c r="A250" s="29"/>
      <c r="B250" s="29"/>
      <c r="C250" s="29"/>
      <c r="D250" s="2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60"/>
      <c r="U250" s="160"/>
      <c r="V250" s="160"/>
      <c r="W250" s="160"/>
      <c r="X250" s="160"/>
      <c r="Y250" s="160"/>
      <c r="Z250" s="29"/>
      <c r="AA250" s="29"/>
      <c r="AB250" s="29"/>
      <c r="AC250" s="29"/>
      <c r="AD250" s="29"/>
      <c r="AE250" s="29"/>
      <c r="AF250" s="29"/>
    </row>
    <row r="251" ht="23.25" customHeight="1">
      <c r="A251" s="29"/>
      <c r="B251" s="29"/>
      <c r="C251" s="29"/>
      <c r="D251" s="2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60"/>
      <c r="U251" s="160"/>
      <c r="V251" s="160"/>
      <c r="W251" s="160"/>
      <c r="X251" s="160"/>
      <c r="Y251" s="160"/>
      <c r="Z251" s="29"/>
      <c r="AA251" s="29"/>
      <c r="AB251" s="29"/>
      <c r="AC251" s="29"/>
      <c r="AD251" s="29"/>
      <c r="AE251" s="29"/>
      <c r="AF251" s="29"/>
    </row>
    <row r="252" ht="23.25" customHeight="1">
      <c r="A252" s="29"/>
      <c r="B252" s="29"/>
      <c r="C252" s="29"/>
      <c r="D252" s="2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60"/>
      <c r="U252" s="160"/>
      <c r="V252" s="160"/>
      <c r="W252" s="160"/>
      <c r="X252" s="160"/>
      <c r="Y252" s="160"/>
      <c r="Z252" s="29"/>
      <c r="AA252" s="29"/>
      <c r="AB252" s="29"/>
      <c r="AC252" s="29"/>
      <c r="AD252" s="29"/>
      <c r="AE252" s="29"/>
      <c r="AF252" s="29"/>
    </row>
    <row r="253" ht="23.25" customHeight="1">
      <c r="A253" s="29"/>
      <c r="B253" s="29"/>
      <c r="C253" s="29"/>
      <c r="D253" s="2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60"/>
      <c r="U253" s="160"/>
      <c r="V253" s="160"/>
      <c r="W253" s="160"/>
      <c r="X253" s="160"/>
      <c r="Y253" s="160"/>
      <c r="Z253" s="29"/>
      <c r="AA253" s="29"/>
      <c r="AB253" s="29"/>
      <c r="AC253" s="29"/>
      <c r="AD253" s="29"/>
      <c r="AE253" s="29"/>
      <c r="AF253" s="29"/>
    </row>
    <row r="254" ht="23.25" customHeight="1">
      <c r="A254" s="29"/>
      <c r="B254" s="29"/>
      <c r="C254" s="29"/>
      <c r="D254" s="2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60"/>
      <c r="U254" s="160"/>
      <c r="V254" s="160"/>
      <c r="W254" s="160"/>
      <c r="X254" s="160"/>
      <c r="Y254" s="160"/>
      <c r="Z254" s="29"/>
      <c r="AA254" s="29"/>
      <c r="AB254" s="29"/>
      <c r="AC254" s="29"/>
      <c r="AD254" s="29"/>
      <c r="AE254" s="29"/>
      <c r="AF254" s="29"/>
    </row>
    <row r="255" ht="23.25" customHeight="1">
      <c r="A255" s="29"/>
      <c r="B255" s="29"/>
      <c r="C255" s="29"/>
      <c r="D255" s="2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60"/>
      <c r="U255" s="160"/>
      <c r="V255" s="160"/>
      <c r="W255" s="160"/>
      <c r="X255" s="160"/>
      <c r="Y255" s="160"/>
      <c r="Z255" s="29"/>
      <c r="AA255" s="29"/>
      <c r="AB255" s="29"/>
      <c r="AC255" s="29"/>
      <c r="AD255" s="29"/>
      <c r="AE255" s="29"/>
      <c r="AF255" s="29"/>
    </row>
    <row r="256" ht="23.25" customHeight="1">
      <c r="A256" s="29"/>
      <c r="B256" s="29"/>
      <c r="C256" s="29"/>
      <c r="D256" s="2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60"/>
      <c r="U256" s="160"/>
      <c r="V256" s="160"/>
      <c r="W256" s="160"/>
      <c r="X256" s="160"/>
      <c r="Y256" s="160"/>
      <c r="Z256" s="29"/>
      <c r="AA256" s="29"/>
      <c r="AB256" s="29"/>
      <c r="AC256" s="29"/>
      <c r="AD256" s="29"/>
      <c r="AE256" s="29"/>
      <c r="AF256" s="29"/>
    </row>
    <row r="257" ht="23.25" customHeight="1">
      <c r="A257" s="29"/>
      <c r="B257" s="29"/>
      <c r="C257" s="29"/>
      <c r="D257" s="2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60"/>
      <c r="U257" s="160"/>
      <c r="V257" s="160"/>
      <c r="W257" s="160"/>
      <c r="X257" s="160"/>
      <c r="Y257" s="160"/>
      <c r="Z257" s="29"/>
      <c r="AA257" s="29"/>
      <c r="AB257" s="29"/>
      <c r="AC257" s="29"/>
      <c r="AD257" s="29"/>
      <c r="AE257" s="29"/>
      <c r="AF257" s="29"/>
    </row>
    <row r="258" ht="23.25" customHeight="1">
      <c r="A258" s="29"/>
      <c r="B258" s="29"/>
      <c r="C258" s="29"/>
      <c r="D258" s="2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60"/>
      <c r="U258" s="160"/>
      <c r="V258" s="160"/>
      <c r="W258" s="160"/>
      <c r="X258" s="160"/>
      <c r="Y258" s="160"/>
      <c r="Z258" s="29"/>
      <c r="AA258" s="29"/>
      <c r="AB258" s="29"/>
      <c r="AC258" s="29"/>
      <c r="AD258" s="29"/>
      <c r="AE258" s="29"/>
      <c r="AF258" s="29"/>
    </row>
    <row r="259" ht="23.25" customHeight="1">
      <c r="A259" s="29"/>
      <c r="B259" s="29"/>
      <c r="C259" s="29"/>
      <c r="D259" s="2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60"/>
      <c r="U259" s="160"/>
      <c r="V259" s="160"/>
      <c r="W259" s="160"/>
      <c r="X259" s="160"/>
      <c r="Y259" s="160"/>
      <c r="Z259" s="29"/>
      <c r="AA259" s="29"/>
      <c r="AB259" s="29"/>
      <c r="AC259" s="29"/>
      <c r="AD259" s="29"/>
      <c r="AE259" s="29"/>
      <c r="AF259" s="29"/>
    </row>
    <row r="260" ht="23.25" customHeight="1">
      <c r="A260" s="29"/>
      <c r="B260" s="29"/>
      <c r="C260" s="29"/>
      <c r="D260" s="2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60"/>
      <c r="U260" s="160"/>
      <c r="V260" s="160"/>
      <c r="W260" s="160"/>
      <c r="X260" s="160"/>
      <c r="Y260" s="160"/>
      <c r="Z260" s="29"/>
      <c r="AA260" s="29"/>
      <c r="AB260" s="29"/>
      <c r="AC260" s="29"/>
      <c r="AD260" s="29"/>
      <c r="AE260" s="29"/>
      <c r="AF260" s="29"/>
    </row>
    <row r="261" ht="23.25" customHeight="1">
      <c r="A261" s="29"/>
      <c r="B261" s="29"/>
      <c r="C261" s="29"/>
      <c r="D261" s="2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60"/>
      <c r="U261" s="160"/>
      <c r="V261" s="160"/>
      <c r="W261" s="160"/>
      <c r="X261" s="160"/>
      <c r="Y261" s="160"/>
      <c r="Z261" s="29"/>
      <c r="AA261" s="29"/>
      <c r="AB261" s="29"/>
      <c r="AC261" s="29"/>
      <c r="AD261" s="29"/>
      <c r="AE261" s="29"/>
      <c r="AF261" s="29"/>
    </row>
    <row r="262" ht="23.25" customHeight="1">
      <c r="A262" s="29"/>
      <c r="B262" s="29"/>
      <c r="C262" s="29"/>
      <c r="D262" s="2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60"/>
      <c r="U262" s="160"/>
      <c r="V262" s="160"/>
      <c r="W262" s="160"/>
      <c r="X262" s="160"/>
      <c r="Y262" s="160"/>
      <c r="Z262" s="29"/>
      <c r="AA262" s="29"/>
      <c r="AB262" s="29"/>
      <c r="AC262" s="29"/>
      <c r="AD262" s="29"/>
      <c r="AE262" s="29"/>
      <c r="AF262" s="29"/>
    </row>
    <row r="263" ht="23.25" customHeight="1">
      <c r="A263" s="29"/>
      <c r="B263" s="29"/>
      <c r="C263" s="29"/>
      <c r="D263" s="2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60"/>
      <c r="U263" s="160"/>
      <c r="V263" s="160"/>
      <c r="W263" s="160"/>
      <c r="X263" s="160"/>
      <c r="Y263" s="160"/>
      <c r="Z263" s="29"/>
      <c r="AA263" s="29"/>
      <c r="AB263" s="29"/>
      <c r="AC263" s="29"/>
      <c r="AD263" s="29"/>
      <c r="AE263" s="29"/>
      <c r="AF263" s="29"/>
    </row>
    <row r="264" ht="23.25" customHeight="1">
      <c r="A264" s="29"/>
      <c r="B264" s="29"/>
      <c r="C264" s="29"/>
      <c r="D264" s="2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60"/>
      <c r="U264" s="160"/>
      <c r="V264" s="160"/>
      <c r="W264" s="160"/>
      <c r="X264" s="160"/>
      <c r="Y264" s="160"/>
      <c r="Z264" s="29"/>
      <c r="AA264" s="29"/>
      <c r="AB264" s="29"/>
      <c r="AC264" s="29"/>
      <c r="AD264" s="29"/>
      <c r="AE264" s="29"/>
      <c r="AF264" s="29"/>
    </row>
    <row r="265" ht="23.25" customHeight="1">
      <c r="A265" s="29"/>
      <c r="B265" s="29"/>
      <c r="C265" s="29"/>
      <c r="D265" s="2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60"/>
      <c r="U265" s="160"/>
      <c r="V265" s="160"/>
      <c r="W265" s="160"/>
      <c r="X265" s="160"/>
      <c r="Y265" s="160"/>
      <c r="Z265" s="29"/>
      <c r="AA265" s="29"/>
      <c r="AB265" s="29"/>
      <c r="AC265" s="29"/>
      <c r="AD265" s="29"/>
      <c r="AE265" s="29"/>
      <c r="AF265" s="29"/>
    </row>
    <row r="266" ht="23.25" customHeight="1">
      <c r="A266" s="29"/>
      <c r="B266" s="29"/>
      <c r="C266" s="29"/>
      <c r="D266" s="2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60"/>
      <c r="U266" s="160"/>
      <c r="V266" s="160"/>
      <c r="W266" s="160"/>
      <c r="X266" s="160"/>
      <c r="Y266" s="160"/>
      <c r="Z266" s="29"/>
      <c r="AA266" s="29"/>
      <c r="AB266" s="29"/>
      <c r="AC266" s="29"/>
      <c r="AD266" s="29"/>
      <c r="AE266" s="29"/>
      <c r="AF266" s="29"/>
    </row>
    <row r="267" ht="23.25" customHeight="1">
      <c r="A267" s="29"/>
      <c r="B267" s="29"/>
      <c r="C267" s="29"/>
      <c r="D267" s="2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60"/>
      <c r="U267" s="160"/>
      <c r="V267" s="160"/>
      <c r="W267" s="160"/>
      <c r="X267" s="160"/>
      <c r="Y267" s="160"/>
      <c r="Z267" s="29"/>
      <c r="AA267" s="29"/>
      <c r="AB267" s="29"/>
      <c r="AC267" s="29"/>
      <c r="AD267" s="29"/>
      <c r="AE267" s="29"/>
      <c r="AF267" s="29"/>
    </row>
    <row r="268" ht="23.25" customHeight="1">
      <c r="A268" s="29"/>
      <c r="B268" s="29"/>
      <c r="C268" s="29"/>
      <c r="D268" s="2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60"/>
      <c r="U268" s="160"/>
      <c r="V268" s="160"/>
      <c r="W268" s="160"/>
      <c r="X268" s="160"/>
      <c r="Y268" s="160"/>
      <c r="Z268" s="29"/>
      <c r="AA268" s="29"/>
      <c r="AB268" s="29"/>
      <c r="AC268" s="29"/>
      <c r="AD268" s="29"/>
      <c r="AE268" s="29"/>
      <c r="AF268" s="29"/>
    </row>
    <row r="269" ht="23.25" customHeight="1">
      <c r="A269" s="29"/>
      <c r="B269" s="29"/>
      <c r="C269" s="29"/>
      <c r="D269" s="2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60"/>
      <c r="U269" s="160"/>
      <c r="V269" s="160"/>
      <c r="W269" s="160"/>
      <c r="X269" s="160"/>
      <c r="Y269" s="160"/>
      <c r="Z269" s="29"/>
      <c r="AA269" s="29"/>
      <c r="AB269" s="29"/>
      <c r="AC269" s="29"/>
      <c r="AD269" s="29"/>
      <c r="AE269" s="29"/>
      <c r="AF269" s="29"/>
    </row>
    <row r="270" ht="23.25" customHeight="1">
      <c r="A270" s="29"/>
      <c r="B270" s="29"/>
      <c r="C270" s="29"/>
      <c r="D270" s="2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60"/>
      <c r="U270" s="160"/>
      <c r="V270" s="160"/>
      <c r="W270" s="160"/>
      <c r="X270" s="160"/>
      <c r="Y270" s="160"/>
      <c r="Z270" s="29"/>
      <c r="AA270" s="29"/>
      <c r="AB270" s="29"/>
      <c r="AC270" s="29"/>
      <c r="AD270" s="29"/>
      <c r="AE270" s="29"/>
      <c r="AF270" s="29"/>
    </row>
    <row r="271" ht="23.25" customHeight="1">
      <c r="A271" s="29"/>
      <c r="B271" s="29"/>
      <c r="C271" s="29"/>
      <c r="D271" s="2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60"/>
      <c r="U271" s="160"/>
      <c r="V271" s="160"/>
      <c r="W271" s="160"/>
      <c r="X271" s="160"/>
      <c r="Y271" s="160"/>
      <c r="Z271" s="29"/>
      <c r="AA271" s="29"/>
      <c r="AB271" s="29"/>
      <c r="AC271" s="29"/>
      <c r="AD271" s="29"/>
      <c r="AE271" s="29"/>
      <c r="AF271" s="29"/>
    </row>
    <row r="272" ht="23.25" customHeight="1">
      <c r="A272" s="29"/>
      <c r="B272" s="29"/>
      <c r="C272" s="29"/>
      <c r="D272" s="2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60"/>
      <c r="U272" s="160"/>
      <c r="V272" s="160"/>
      <c r="W272" s="160"/>
      <c r="X272" s="160"/>
      <c r="Y272" s="160"/>
      <c r="Z272" s="29"/>
      <c r="AA272" s="29"/>
      <c r="AB272" s="29"/>
      <c r="AC272" s="29"/>
      <c r="AD272" s="29"/>
      <c r="AE272" s="29"/>
      <c r="AF272" s="29"/>
    </row>
    <row r="273" ht="23.25" customHeight="1">
      <c r="A273" s="29"/>
      <c r="B273" s="29"/>
      <c r="C273" s="29"/>
      <c r="D273" s="2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60"/>
      <c r="U273" s="160"/>
      <c r="V273" s="160"/>
      <c r="W273" s="160"/>
      <c r="X273" s="160"/>
      <c r="Y273" s="160"/>
      <c r="Z273" s="29"/>
      <c r="AA273" s="29"/>
      <c r="AB273" s="29"/>
      <c r="AC273" s="29"/>
      <c r="AD273" s="29"/>
      <c r="AE273" s="29"/>
      <c r="AF273" s="29"/>
    </row>
    <row r="274" ht="23.25" customHeight="1">
      <c r="A274" s="29"/>
      <c r="B274" s="29"/>
      <c r="C274" s="29"/>
      <c r="D274" s="2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60"/>
      <c r="U274" s="160"/>
      <c r="V274" s="160"/>
      <c r="W274" s="160"/>
      <c r="X274" s="160"/>
      <c r="Y274" s="160"/>
      <c r="Z274" s="29"/>
      <c r="AA274" s="29"/>
      <c r="AB274" s="29"/>
      <c r="AC274" s="29"/>
      <c r="AD274" s="29"/>
      <c r="AE274" s="29"/>
      <c r="AF274" s="29"/>
    </row>
    <row r="275" ht="23.25" customHeight="1">
      <c r="A275" s="29"/>
      <c r="B275" s="29"/>
      <c r="C275" s="29"/>
      <c r="D275" s="2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60"/>
      <c r="U275" s="160"/>
      <c r="V275" s="160"/>
      <c r="W275" s="160"/>
      <c r="X275" s="160"/>
      <c r="Y275" s="160"/>
      <c r="Z275" s="29"/>
      <c r="AA275" s="29"/>
      <c r="AB275" s="29"/>
      <c r="AC275" s="29"/>
      <c r="AD275" s="29"/>
      <c r="AE275" s="29"/>
      <c r="AF275" s="29"/>
    </row>
    <row r="276" ht="23.25" customHeight="1">
      <c r="A276" s="29"/>
      <c r="B276" s="29"/>
      <c r="C276" s="29"/>
      <c r="D276" s="2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60"/>
      <c r="U276" s="160"/>
      <c r="V276" s="160"/>
      <c r="W276" s="160"/>
      <c r="X276" s="160"/>
      <c r="Y276" s="160"/>
      <c r="Z276" s="29"/>
      <c r="AA276" s="29"/>
      <c r="AB276" s="29"/>
      <c r="AC276" s="29"/>
      <c r="AD276" s="29"/>
      <c r="AE276" s="29"/>
      <c r="AF276" s="29"/>
    </row>
    <row r="277" ht="23.25" customHeight="1">
      <c r="A277" s="29"/>
      <c r="B277" s="29"/>
      <c r="C277" s="29"/>
      <c r="D277" s="2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60"/>
      <c r="U277" s="160"/>
      <c r="V277" s="160"/>
      <c r="W277" s="160"/>
      <c r="X277" s="160"/>
      <c r="Y277" s="160"/>
      <c r="Z277" s="29"/>
      <c r="AA277" s="29"/>
      <c r="AB277" s="29"/>
      <c r="AC277" s="29"/>
      <c r="AD277" s="29"/>
      <c r="AE277" s="29"/>
      <c r="AF277" s="29"/>
    </row>
    <row r="278" ht="23.25" customHeight="1">
      <c r="A278" s="29"/>
      <c r="B278" s="29"/>
      <c r="C278" s="29"/>
      <c r="D278" s="2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60"/>
      <c r="U278" s="160"/>
      <c r="V278" s="160"/>
      <c r="W278" s="160"/>
      <c r="X278" s="160"/>
      <c r="Y278" s="160"/>
      <c r="Z278" s="29"/>
      <c r="AA278" s="29"/>
      <c r="AB278" s="29"/>
      <c r="AC278" s="29"/>
      <c r="AD278" s="29"/>
      <c r="AE278" s="29"/>
      <c r="AF278" s="29"/>
    </row>
    <row r="279" ht="23.25" customHeight="1">
      <c r="A279" s="29"/>
      <c r="B279" s="29"/>
      <c r="C279" s="29"/>
      <c r="D279" s="2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60"/>
      <c r="U279" s="160"/>
      <c r="V279" s="160"/>
      <c r="W279" s="160"/>
      <c r="X279" s="160"/>
      <c r="Y279" s="160"/>
      <c r="Z279" s="29"/>
      <c r="AA279" s="29"/>
      <c r="AB279" s="29"/>
      <c r="AC279" s="29"/>
      <c r="AD279" s="29"/>
      <c r="AE279" s="29"/>
      <c r="AF279" s="29"/>
    </row>
    <row r="280" ht="23.25" customHeight="1">
      <c r="A280" s="29"/>
      <c r="B280" s="29"/>
      <c r="C280" s="29"/>
      <c r="D280" s="2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60"/>
      <c r="U280" s="160"/>
      <c r="V280" s="160"/>
      <c r="W280" s="160"/>
      <c r="X280" s="160"/>
      <c r="Y280" s="160"/>
      <c r="Z280" s="29"/>
      <c r="AA280" s="29"/>
      <c r="AB280" s="29"/>
      <c r="AC280" s="29"/>
      <c r="AD280" s="29"/>
      <c r="AE280" s="29"/>
      <c r="AF280" s="29"/>
    </row>
    <row r="281" ht="23.25" customHeight="1">
      <c r="A281" s="29"/>
      <c r="B281" s="29"/>
      <c r="C281" s="29"/>
      <c r="D281" s="2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60"/>
      <c r="U281" s="160"/>
      <c r="V281" s="160"/>
      <c r="W281" s="160"/>
      <c r="X281" s="160"/>
      <c r="Y281" s="160"/>
      <c r="Z281" s="29"/>
      <c r="AA281" s="29"/>
      <c r="AB281" s="29"/>
      <c r="AC281" s="29"/>
      <c r="AD281" s="29"/>
      <c r="AE281" s="29"/>
      <c r="AF281" s="29"/>
    </row>
    <row r="282" ht="23.25" customHeight="1">
      <c r="A282" s="29"/>
      <c r="B282" s="29"/>
      <c r="C282" s="29"/>
      <c r="D282" s="2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60"/>
      <c r="U282" s="160"/>
      <c r="V282" s="160"/>
      <c r="W282" s="160"/>
      <c r="X282" s="160"/>
      <c r="Y282" s="160"/>
      <c r="Z282" s="29"/>
      <c r="AA282" s="29"/>
      <c r="AB282" s="29"/>
      <c r="AC282" s="29"/>
      <c r="AD282" s="29"/>
      <c r="AE282" s="29"/>
      <c r="AF282" s="29"/>
    </row>
    <row r="283" ht="23.25" customHeight="1">
      <c r="A283" s="29"/>
      <c r="B283" s="29"/>
      <c r="C283" s="29"/>
      <c r="D283" s="2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60"/>
      <c r="U283" s="160"/>
      <c r="V283" s="160"/>
      <c r="W283" s="160"/>
      <c r="X283" s="160"/>
      <c r="Y283" s="160"/>
      <c r="Z283" s="29"/>
      <c r="AA283" s="29"/>
      <c r="AB283" s="29"/>
      <c r="AC283" s="29"/>
      <c r="AD283" s="29"/>
      <c r="AE283" s="29"/>
      <c r="AF283" s="29"/>
    </row>
    <row r="284" ht="23.25" customHeight="1">
      <c r="A284" s="29"/>
      <c r="B284" s="29"/>
      <c r="C284" s="29"/>
      <c r="D284" s="2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60"/>
      <c r="U284" s="160"/>
      <c r="V284" s="160"/>
      <c r="W284" s="160"/>
      <c r="X284" s="160"/>
      <c r="Y284" s="160"/>
      <c r="Z284" s="29"/>
      <c r="AA284" s="29"/>
      <c r="AB284" s="29"/>
      <c r="AC284" s="29"/>
      <c r="AD284" s="29"/>
      <c r="AE284" s="29"/>
      <c r="AF284" s="29"/>
    </row>
    <row r="285" ht="23.25" customHeight="1">
      <c r="A285" s="29"/>
      <c r="B285" s="29"/>
      <c r="C285" s="29"/>
      <c r="D285" s="2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60"/>
      <c r="U285" s="160"/>
      <c r="V285" s="160"/>
      <c r="W285" s="160"/>
      <c r="X285" s="160"/>
      <c r="Y285" s="160"/>
      <c r="Z285" s="29"/>
      <c r="AA285" s="29"/>
      <c r="AB285" s="29"/>
      <c r="AC285" s="29"/>
      <c r="AD285" s="29"/>
      <c r="AE285" s="29"/>
      <c r="AF285" s="29"/>
    </row>
    <row r="286" ht="23.25" customHeight="1">
      <c r="A286" s="29"/>
      <c r="B286" s="29"/>
      <c r="C286" s="29"/>
      <c r="D286" s="2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60"/>
      <c r="U286" s="160"/>
      <c r="V286" s="160"/>
      <c r="W286" s="160"/>
      <c r="X286" s="160"/>
      <c r="Y286" s="160"/>
      <c r="Z286" s="29"/>
      <c r="AA286" s="29"/>
      <c r="AB286" s="29"/>
      <c r="AC286" s="29"/>
      <c r="AD286" s="29"/>
      <c r="AE286" s="29"/>
      <c r="AF286" s="29"/>
    </row>
    <row r="287" ht="23.25" customHeight="1">
      <c r="A287" s="29"/>
      <c r="B287" s="29"/>
      <c r="C287" s="29"/>
      <c r="D287" s="2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60"/>
      <c r="U287" s="160"/>
      <c r="V287" s="160"/>
      <c r="W287" s="160"/>
      <c r="X287" s="160"/>
      <c r="Y287" s="160"/>
      <c r="Z287" s="29"/>
      <c r="AA287" s="29"/>
      <c r="AB287" s="29"/>
      <c r="AC287" s="29"/>
      <c r="AD287" s="29"/>
      <c r="AE287" s="29"/>
      <c r="AF287" s="29"/>
    </row>
    <row r="288" ht="23.25" customHeight="1">
      <c r="A288" s="29"/>
      <c r="B288" s="29"/>
      <c r="C288" s="29"/>
      <c r="D288" s="2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60"/>
      <c r="U288" s="160"/>
      <c r="V288" s="160"/>
      <c r="W288" s="160"/>
      <c r="X288" s="160"/>
      <c r="Y288" s="160"/>
      <c r="Z288" s="29"/>
      <c r="AA288" s="29"/>
      <c r="AB288" s="29"/>
      <c r="AC288" s="29"/>
      <c r="AD288" s="29"/>
      <c r="AE288" s="29"/>
      <c r="AF288" s="29"/>
    </row>
    <row r="289" ht="23.25" customHeight="1">
      <c r="A289" s="29"/>
      <c r="B289" s="29"/>
      <c r="C289" s="29"/>
      <c r="D289" s="2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60"/>
      <c r="U289" s="160"/>
      <c r="V289" s="160"/>
      <c r="W289" s="160"/>
      <c r="X289" s="160"/>
      <c r="Y289" s="160"/>
      <c r="Z289" s="29"/>
      <c r="AA289" s="29"/>
      <c r="AB289" s="29"/>
      <c r="AC289" s="29"/>
      <c r="AD289" s="29"/>
      <c r="AE289" s="29"/>
      <c r="AF289" s="29"/>
    </row>
    <row r="290" ht="23.25" customHeight="1">
      <c r="A290" s="29"/>
      <c r="B290" s="29"/>
      <c r="C290" s="29"/>
      <c r="D290" s="2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60"/>
      <c r="U290" s="160"/>
      <c r="V290" s="160"/>
      <c r="W290" s="160"/>
      <c r="X290" s="160"/>
      <c r="Y290" s="160"/>
      <c r="Z290" s="29"/>
      <c r="AA290" s="29"/>
      <c r="AB290" s="29"/>
      <c r="AC290" s="29"/>
      <c r="AD290" s="29"/>
      <c r="AE290" s="29"/>
      <c r="AF290" s="29"/>
    </row>
    <row r="291" ht="23.25" customHeight="1">
      <c r="A291" s="29"/>
      <c r="B291" s="29"/>
      <c r="C291" s="29"/>
      <c r="D291" s="2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60"/>
      <c r="U291" s="160"/>
      <c r="V291" s="160"/>
      <c r="W291" s="160"/>
      <c r="X291" s="160"/>
      <c r="Y291" s="160"/>
      <c r="Z291" s="29"/>
      <c r="AA291" s="29"/>
      <c r="AB291" s="29"/>
      <c r="AC291" s="29"/>
      <c r="AD291" s="29"/>
      <c r="AE291" s="29"/>
      <c r="AF291" s="29"/>
    </row>
    <row r="292" ht="23.25" customHeight="1">
      <c r="A292" s="29"/>
      <c r="B292" s="29"/>
      <c r="C292" s="29"/>
      <c r="D292" s="2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60"/>
      <c r="U292" s="160"/>
      <c r="V292" s="160"/>
      <c r="W292" s="160"/>
      <c r="X292" s="160"/>
      <c r="Y292" s="160"/>
      <c r="Z292" s="29"/>
      <c r="AA292" s="29"/>
      <c r="AB292" s="29"/>
      <c r="AC292" s="29"/>
      <c r="AD292" s="29"/>
      <c r="AE292" s="29"/>
      <c r="AF292" s="29"/>
    </row>
    <row r="293" ht="23.25" customHeight="1">
      <c r="A293" s="29"/>
      <c r="B293" s="29"/>
      <c r="C293" s="29"/>
      <c r="D293" s="2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60"/>
      <c r="U293" s="160"/>
      <c r="V293" s="160"/>
      <c r="W293" s="160"/>
      <c r="X293" s="160"/>
      <c r="Y293" s="160"/>
      <c r="Z293" s="29"/>
      <c r="AA293" s="29"/>
      <c r="AB293" s="29"/>
      <c r="AC293" s="29"/>
      <c r="AD293" s="29"/>
      <c r="AE293" s="29"/>
      <c r="AF293" s="29"/>
    </row>
    <row r="294" ht="23.25" customHeight="1">
      <c r="A294" s="29"/>
      <c r="B294" s="29"/>
      <c r="C294" s="29"/>
      <c r="D294" s="2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60"/>
      <c r="U294" s="160"/>
      <c r="V294" s="160"/>
      <c r="W294" s="160"/>
      <c r="X294" s="160"/>
      <c r="Y294" s="160"/>
      <c r="Z294" s="29"/>
      <c r="AA294" s="29"/>
      <c r="AB294" s="29"/>
      <c r="AC294" s="29"/>
      <c r="AD294" s="29"/>
      <c r="AE294" s="29"/>
      <c r="AF294" s="29"/>
    </row>
    <row r="295" ht="23.25" customHeight="1">
      <c r="A295" s="29"/>
      <c r="B295" s="29"/>
      <c r="C295" s="29"/>
      <c r="D295" s="2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60"/>
      <c r="U295" s="160"/>
      <c r="V295" s="160"/>
      <c r="W295" s="160"/>
      <c r="X295" s="160"/>
      <c r="Y295" s="160"/>
      <c r="Z295" s="29"/>
      <c r="AA295" s="29"/>
      <c r="AB295" s="29"/>
      <c r="AC295" s="29"/>
      <c r="AD295" s="29"/>
      <c r="AE295" s="29"/>
      <c r="AF295" s="29"/>
    </row>
    <row r="296" ht="23.25" customHeight="1">
      <c r="A296" s="29"/>
      <c r="B296" s="29"/>
      <c r="C296" s="29"/>
      <c r="D296" s="2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60"/>
      <c r="U296" s="160"/>
      <c r="V296" s="160"/>
      <c r="W296" s="160"/>
      <c r="X296" s="160"/>
      <c r="Y296" s="160"/>
      <c r="Z296" s="29"/>
      <c r="AA296" s="29"/>
      <c r="AB296" s="29"/>
      <c r="AC296" s="29"/>
      <c r="AD296" s="29"/>
      <c r="AE296" s="29"/>
      <c r="AF296" s="29"/>
    </row>
    <row r="297" ht="23.25" customHeight="1">
      <c r="A297" s="29"/>
      <c r="B297" s="29"/>
      <c r="C297" s="29"/>
      <c r="D297" s="2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60"/>
      <c r="U297" s="160"/>
      <c r="V297" s="160"/>
      <c r="W297" s="160"/>
      <c r="X297" s="160"/>
      <c r="Y297" s="160"/>
      <c r="Z297" s="29"/>
      <c r="AA297" s="29"/>
      <c r="AB297" s="29"/>
      <c r="AC297" s="29"/>
      <c r="AD297" s="29"/>
      <c r="AE297" s="29"/>
      <c r="AF297" s="29"/>
    </row>
    <row r="298" ht="23.25" customHeight="1">
      <c r="A298" s="29"/>
      <c r="B298" s="29"/>
      <c r="C298" s="29"/>
      <c r="D298" s="2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60"/>
      <c r="U298" s="160"/>
      <c r="V298" s="160"/>
      <c r="W298" s="160"/>
      <c r="X298" s="160"/>
      <c r="Y298" s="160"/>
      <c r="Z298" s="29"/>
      <c r="AA298" s="29"/>
      <c r="AB298" s="29"/>
      <c r="AC298" s="29"/>
      <c r="AD298" s="29"/>
      <c r="AE298" s="29"/>
      <c r="AF298" s="29"/>
    </row>
    <row r="299" ht="23.25" customHeight="1">
      <c r="A299" s="29"/>
      <c r="B299" s="29"/>
      <c r="C299" s="29"/>
      <c r="D299" s="2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60"/>
      <c r="U299" s="160"/>
      <c r="V299" s="160"/>
      <c r="W299" s="160"/>
      <c r="X299" s="160"/>
      <c r="Y299" s="160"/>
      <c r="Z299" s="29"/>
      <c r="AA299" s="29"/>
      <c r="AB299" s="29"/>
      <c r="AC299" s="29"/>
      <c r="AD299" s="29"/>
      <c r="AE299" s="29"/>
      <c r="AF299" s="29"/>
    </row>
    <row r="300" ht="23.25" customHeight="1">
      <c r="A300" s="29"/>
      <c r="B300" s="29"/>
      <c r="C300" s="29"/>
      <c r="D300" s="2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60"/>
      <c r="U300" s="160"/>
      <c r="V300" s="160"/>
      <c r="W300" s="160"/>
      <c r="X300" s="160"/>
      <c r="Y300" s="160"/>
      <c r="Z300" s="29"/>
      <c r="AA300" s="29"/>
      <c r="AB300" s="29"/>
      <c r="AC300" s="29"/>
      <c r="AD300" s="29"/>
      <c r="AE300" s="29"/>
      <c r="AF300" s="29"/>
    </row>
    <row r="301" ht="23.25" customHeight="1">
      <c r="A301" s="29"/>
      <c r="B301" s="29"/>
      <c r="C301" s="29"/>
      <c r="D301" s="2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60"/>
      <c r="U301" s="160"/>
      <c r="V301" s="160"/>
      <c r="W301" s="160"/>
      <c r="X301" s="160"/>
      <c r="Y301" s="160"/>
      <c r="Z301" s="29"/>
      <c r="AA301" s="29"/>
      <c r="AB301" s="29"/>
      <c r="AC301" s="29"/>
      <c r="AD301" s="29"/>
      <c r="AE301" s="29"/>
      <c r="AF301" s="29"/>
    </row>
    <row r="302" ht="23.25" customHeight="1">
      <c r="A302" s="29"/>
      <c r="B302" s="29"/>
      <c r="C302" s="29"/>
      <c r="D302" s="2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60"/>
      <c r="U302" s="160"/>
      <c r="V302" s="160"/>
      <c r="W302" s="160"/>
      <c r="X302" s="160"/>
      <c r="Y302" s="160"/>
      <c r="Z302" s="29"/>
      <c r="AA302" s="29"/>
      <c r="AB302" s="29"/>
      <c r="AC302" s="29"/>
      <c r="AD302" s="29"/>
      <c r="AE302" s="29"/>
      <c r="AF302" s="29"/>
    </row>
    <row r="303" ht="23.25" customHeight="1">
      <c r="A303" s="29"/>
      <c r="B303" s="29"/>
      <c r="C303" s="29"/>
      <c r="D303" s="2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60"/>
      <c r="U303" s="160"/>
      <c r="V303" s="160"/>
      <c r="W303" s="160"/>
      <c r="X303" s="160"/>
      <c r="Y303" s="160"/>
      <c r="Z303" s="29"/>
      <c r="AA303" s="29"/>
      <c r="AB303" s="29"/>
      <c r="AC303" s="29"/>
      <c r="AD303" s="29"/>
      <c r="AE303" s="29"/>
      <c r="AF303" s="29"/>
    </row>
    <row r="304" ht="23.25" customHeight="1">
      <c r="A304" s="29"/>
      <c r="B304" s="29"/>
      <c r="C304" s="29"/>
      <c r="D304" s="2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60"/>
      <c r="U304" s="160"/>
      <c r="V304" s="160"/>
      <c r="W304" s="160"/>
      <c r="X304" s="160"/>
      <c r="Y304" s="160"/>
      <c r="Z304" s="29"/>
      <c r="AA304" s="29"/>
      <c r="AB304" s="29"/>
      <c r="AC304" s="29"/>
      <c r="AD304" s="29"/>
      <c r="AE304" s="29"/>
      <c r="AF304" s="29"/>
    </row>
    <row r="305" ht="23.25" customHeight="1">
      <c r="A305" s="29"/>
      <c r="B305" s="29"/>
      <c r="C305" s="29"/>
      <c r="D305" s="2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60"/>
      <c r="U305" s="160"/>
      <c r="V305" s="160"/>
      <c r="W305" s="160"/>
      <c r="X305" s="160"/>
      <c r="Y305" s="160"/>
      <c r="Z305" s="29"/>
      <c r="AA305" s="29"/>
      <c r="AB305" s="29"/>
      <c r="AC305" s="29"/>
      <c r="AD305" s="29"/>
      <c r="AE305" s="29"/>
      <c r="AF305" s="29"/>
    </row>
    <row r="306" ht="23.25" customHeight="1">
      <c r="A306" s="29"/>
      <c r="B306" s="29"/>
      <c r="C306" s="29"/>
      <c r="D306" s="2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60"/>
      <c r="U306" s="160"/>
      <c r="V306" s="160"/>
      <c r="W306" s="160"/>
      <c r="X306" s="160"/>
      <c r="Y306" s="160"/>
      <c r="Z306" s="29"/>
      <c r="AA306" s="29"/>
      <c r="AB306" s="29"/>
      <c r="AC306" s="29"/>
      <c r="AD306" s="29"/>
      <c r="AE306" s="29"/>
      <c r="AF306" s="29"/>
    </row>
    <row r="307" ht="23.25" customHeight="1">
      <c r="A307" s="29"/>
      <c r="B307" s="29"/>
      <c r="C307" s="29"/>
      <c r="D307" s="2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60"/>
      <c r="U307" s="160"/>
      <c r="V307" s="160"/>
      <c r="W307" s="160"/>
      <c r="X307" s="160"/>
      <c r="Y307" s="160"/>
      <c r="Z307" s="29"/>
      <c r="AA307" s="29"/>
      <c r="AB307" s="29"/>
      <c r="AC307" s="29"/>
      <c r="AD307" s="29"/>
      <c r="AE307" s="29"/>
      <c r="AF307" s="29"/>
    </row>
    <row r="308" ht="23.25" customHeight="1">
      <c r="A308" s="29"/>
      <c r="B308" s="29"/>
      <c r="C308" s="29"/>
      <c r="D308" s="2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60"/>
      <c r="U308" s="160"/>
      <c r="V308" s="160"/>
      <c r="W308" s="160"/>
      <c r="X308" s="160"/>
      <c r="Y308" s="160"/>
      <c r="Z308" s="29"/>
      <c r="AA308" s="29"/>
      <c r="AB308" s="29"/>
      <c r="AC308" s="29"/>
      <c r="AD308" s="29"/>
      <c r="AE308" s="29"/>
      <c r="AF308" s="29"/>
    </row>
    <row r="309" ht="23.25" customHeight="1">
      <c r="A309" s="29"/>
      <c r="B309" s="29"/>
      <c r="C309" s="29"/>
      <c r="D309" s="2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60"/>
      <c r="U309" s="160"/>
      <c r="V309" s="160"/>
      <c r="W309" s="160"/>
      <c r="X309" s="160"/>
      <c r="Y309" s="160"/>
      <c r="Z309" s="29"/>
      <c r="AA309" s="29"/>
      <c r="AB309" s="29"/>
      <c r="AC309" s="29"/>
      <c r="AD309" s="29"/>
      <c r="AE309" s="29"/>
      <c r="AF309" s="29"/>
    </row>
    <row r="310" ht="23.25" customHeight="1">
      <c r="A310" s="29"/>
      <c r="B310" s="29"/>
      <c r="C310" s="29"/>
      <c r="D310" s="2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60"/>
      <c r="U310" s="160"/>
      <c r="V310" s="160"/>
      <c r="W310" s="160"/>
      <c r="X310" s="160"/>
      <c r="Y310" s="160"/>
      <c r="Z310" s="29"/>
      <c r="AA310" s="29"/>
      <c r="AB310" s="29"/>
      <c r="AC310" s="29"/>
      <c r="AD310" s="29"/>
      <c r="AE310" s="29"/>
      <c r="AF310" s="29"/>
    </row>
    <row r="311" ht="23.25" customHeight="1">
      <c r="A311" s="29"/>
      <c r="B311" s="29"/>
      <c r="C311" s="29"/>
      <c r="D311" s="2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60"/>
      <c r="U311" s="160"/>
      <c r="V311" s="160"/>
      <c r="W311" s="160"/>
      <c r="X311" s="160"/>
      <c r="Y311" s="160"/>
      <c r="Z311" s="29"/>
      <c r="AA311" s="29"/>
      <c r="AB311" s="29"/>
      <c r="AC311" s="29"/>
      <c r="AD311" s="29"/>
      <c r="AE311" s="29"/>
      <c r="AF311" s="29"/>
    </row>
    <row r="312" ht="23.25" customHeight="1">
      <c r="A312" s="29"/>
      <c r="B312" s="29"/>
      <c r="C312" s="29"/>
      <c r="D312" s="2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60"/>
      <c r="U312" s="160"/>
      <c r="V312" s="160"/>
      <c r="W312" s="160"/>
      <c r="X312" s="160"/>
      <c r="Y312" s="160"/>
      <c r="Z312" s="29"/>
      <c r="AA312" s="29"/>
      <c r="AB312" s="29"/>
      <c r="AC312" s="29"/>
      <c r="AD312" s="29"/>
      <c r="AE312" s="29"/>
      <c r="AF312" s="29"/>
    </row>
    <row r="313" ht="23.25" customHeight="1">
      <c r="A313" s="29"/>
      <c r="B313" s="29"/>
      <c r="C313" s="29"/>
      <c r="D313" s="2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60"/>
      <c r="U313" s="160"/>
      <c r="V313" s="160"/>
      <c r="W313" s="160"/>
      <c r="X313" s="160"/>
      <c r="Y313" s="160"/>
      <c r="Z313" s="29"/>
      <c r="AA313" s="29"/>
      <c r="AB313" s="29"/>
      <c r="AC313" s="29"/>
      <c r="AD313" s="29"/>
      <c r="AE313" s="29"/>
      <c r="AF313" s="29"/>
    </row>
    <row r="314" ht="23.25" customHeight="1">
      <c r="A314" s="29"/>
      <c r="B314" s="29"/>
      <c r="C314" s="29"/>
      <c r="D314" s="2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60"/>
      <c r="U314" s="160"/>
      <c r="V314" s="160"/>
      <c r="W314" s="160"/>
      <c r="X314" s="160"/>
      <c r="Y314" s="160"/>
      <c r="Z314" s="29"/>
      <c r="AA314" s="29"/>
      <c r="AB314" s="29"/>
      <c r="AC314" s="29"/>
      <c r="AD314" s="29"/>
      <c r="AE314" s="29"/>
      <c r="AF314" s="29"/>
    </row>
    <row r="315" ht="23.25" customHeight="1">
      <c r="A315" s="29"/>
      <c r="B315" s="29"/>
      <c r="C315" s="29"/>
      <c r="D315" s="2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60"/>
      <c r="U315" s="160"/>
      <c r="V315" s="160"/>
      <c r="W315" s="160"/>
      <c r="X315" s="160"/>
      <c r="Y315" s="160"/>
      <c r="Z315" s="29"/>
      <c r="AA315" s="29"/>
      <c r="AB315" s="29"/>
      <c r="AC315" s="29"/>
      <c r="AD315" s="29"/>
      <c r="AE315" s="29"/>
      <c r="AF315" s="29"/>
    </row>
    <row r="316" ht="23.25" customHeight="1">
      <c r="A316" s="29"/>
      <c r="B316" s="29"/>
      <c r="C316" s="29"/>
      <c r="D316" s="2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60"/>
      <c r="U316" s="160"/>
      <c r="V316" s="160"/>
      <c r="W316" s="160"/>
      <c r="X316" s="160"/>
      <c r="Y316" s="160"/>
      <c r="Z316" s="29"/>
      <c r="AA316" s="29"/>
      <c r="AB316" s="29"/>
      <c r="AC316" s="29"/>
      <c r="AD316" s="29"/>
      <c r="AE316" s="29"/>
      <c r="AF316" s="29"/>
    </row>
    <row r="317" ht="23.25" customHeight="1">
      <c r="A317" s="29"/>
      <c r="B317" s="29"/>
      <c r="C317" s="29"/>
      <c r="D317" s="2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60"/>
      <c r="U317" s="160"/>
      <c r="V317" s="160"/>
      <c r="W317" s="160"/>
      <c r="X317" s="160"/>
      <c r="Y317" s="160"/>
      <c r="Z317" s="29"/>
      <c r="AA317" s="29"/>
      <c r="AB317" s="29"/>
      <c r="AC317" s="29"/>
      <c r="AD317" s="29"/>
      <c r="AE317" s="29"/>
      <c r="AF317" s="29"/>
    </row>
    <row r="318" ht="23.25" customHeight="1">
      <c r="A318" s="29"/>
      <c r="B318" s="29"/>
      <c r="C318" s="29"/>
      <c r="D318" s="2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60"/>
      <c r="U318" s="160"/>
      <c r="V318" s="160"/>
      <c r="W318" s="160"/>
      <c r="X318" s="160"/>
      <c r="Y318" s="160"/>
      <c r="Z318" s="29"/>
      <c r="AA318" s="29"/>
      <c r="AB318" s="29"/>
      <c r="AC318" s="29"/>
      <c r="AD318" s="29"/>
      <c r="AE318" s="29"/>
      <c r="AF318" s="29"/>
    </row>
    <row r="319" ht="23.25" customHeight="1">
      <c r="A319" s="29"/>
      <c r="B319" s="29"/>
      <c r="C319" s="29"/>
      <c r="D319" s="2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60"/>
      <c r="U319" s="160"/>
      <c r="V319" s="160"/>
      <c r="W319" s="160"/>
      <c r="X319" s="160"/>
      <c r="Y319" s="160"/>
      <c r="Z319" s="29"/>
      <c r="AA319" s="29"/>
      <c r="AB319" s="29"/>
      <c r="AC319" s="29"/>
      <c r="AD319" s="29"/>
      <c r="AE319" s="29"/>
      <c r="AF319" s="29"/>
    </row>
    <row r="320" ht="23.25" customHeight="1">
      <c r="A320" s="29"/>
      <c r="B320" s="29"/>
      <c r="C320" s="29"/>
      <c r="D320" s="2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60"/>
      <c r="U320" s="160"/>
      <c r="V320" s="160"/>
      <c r="W320" s="160"/>
      <c r="X320" s="160"/>
      <c r="Y320" s="160"/>
      <c r="Z320" s="29"/>
      <c r="AA320" s="29"/>
      <c r="AB320" s="29"/>
      <c r="AC320" s="29"/>
      <c r="AD320" s="29"/>
      <c r="AE320" s="29"/>
      <c r="AF320" s="29"/>
    </row>
    <row r="321" ht="23.25" customHeight="1">
      <c r="A321" s="29"/>
      <c r="B321" s="29"/>
      <c r="C321" s="29"/>
      <c r="D321" s="2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60"/>
      <c r="U321" s="160"/>
      <c r="V321" s="160"/>
      <c r="W321" s="160"/>
      <c r="X321" s="160"/>
      <c r="Y321" s="160"/>
      <c r="Z321" s="29"/>
      <c r="AA321" s="29"/>
      <c r="AB321" s="29"/>
      <c r="AC321" s="29"/>
      <c r="AD321" s="29"/>
      <c r="AE321" s="29"/>
      <c r="AF321" s="29"/>
    </row>
    <row r="322" ht="23.25" customHeight="1">
      <c r="A322" s="29"/>
      <c r="B322" s="29"/>
      <c r="C322" s="29"/>
      <c r="D322" s="2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60"/>
      <c r="U322" s="160"/>
      <c r="V322" s="160"/>
      <c r="W322" s="160"/>
      <c r="X322" s="160"/>
      <c r="Y322" s="160"/>
      <c r="Z322" s="29"/>
      <c r="AA322" s="29"/>
      <c r="AB322" s="29"/>
      <c r="AC322" s="29"/>
      <c r="AD322" s="29"/>
      <c r="AE322" s="29"/>
      <c r="AF322" s="29"/>
    </row>
    <row r="323" ht="23.25" customHeight="1">
      <c r="A323" s="29"/>
      <c r="B323" s="29"/>
      <c r="C323" s="29"/>
      <c r="D323" s="2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60"/>
      <c r="U323" s="160"/>
      <c r="V323" s="160"/>
      <c r="W323" s="160"/>
      <c r="X323" s="160"/>
      <c r="Y323" s="160"/>
      <c r="Z323" s="29"/>
      <c r="AA323" s="29"/>
      <c r="AB323" s="29"/>
      <c r="AC323" s="29"/>
      <c r="AD323" s="29"/>
      <c r="AE323" s="29"/>
      <c r="AF323" s="29"/>
    </row>
    <row r="324" ht="23.25" customHeight="1">
      <c r="A324" s="29"/>
      <c r="B324" s="29"/>
      <c r="C324" s="29"/>
      <c r="D324" s="2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60"/>
      <c r="U324" s="160"/>
      <c r="V324" s="160"/>
      <c r="W324" s="160"/>
      <c r="X324" s="160"/>
      <c r="Y324" s="160"/>
      <c r="Z324" s="29"/>
      <c r="AA324" s="29"/>
      <c r="AB324" s="29"/>
      <c r="AC324" s="29"/>
      <c r="AD324" s="29"/>
      <c r="AE324" s="29"/>
      <c r="AF324" s="29"/>
    </row>
    <row r="325" ht="23.25" customHeight="1">
      <c r="A325" s="29"/>
      <c r="B325" s="29"/>
      <c r="C325" s="29"/>
      <c r="D325" s="2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60"/>
      <c r="U325" s="160"/>
      <c r="V325" s="160"/>
      <c r="W325" s="160"/>
      <c r="X325" s="160"/>
      <c r="Y325" s="160"/>
      <c r="Z325" s="29"/>
      <c r="AA325" s="29"/>
      <c r="AB325" s="29"/>
      <c r="AC325" s="29"/>
      <c r="AD325" s="29"/>
      <c r="AE325" s="29"/>
      <c r="AF325" s="29"/>
    </row>
    <row r="326" ht="23.25" customHeight="1">
      <c r="A326" s="29"/>
      <c r="B326" s="29"/>
      <c r="C326" s="29"/>
      <c r="D326" s="2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60"/>
      <c r="U326" s="160"/>
      <c r="V326" s="160"/>
      <c r="W326" s="160"/>
      <c r="X326" s="160"/>
      <c r="Y326" s="160"/>
      <c r="Z326" s="29"/>
      <c r="AA326" s="29"/>
      <c r="AB326" s="29"/>
      <c r="AC326" s="29"/>
      <c r="AD326" s="29"/>
      <c r="AE326" s="29"/>
      <c r="AF326" s="29"/>
    </row>
    <row r="327" ht="23.25" customHeight="1">
      <c r="A327" s="29"/>
      <c r="B327" s="29"/>
      <c r="C327" s="29"/>
      <c r="D327" s="2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60"/>
      <c r="U327" s="160"/>
      <c r="V327" s="160"/>
      <c r="W327" s="160"/>
      <c r="X327" s="160"/>
      <c r="Y327" s="160"/>
      <c r="Z327" s="29"/>
      <c r="AA327" s="29"/>
      <c r="AB327" s="29"/>
      <c r="AC327" s="29"/>
      <c r="AD327" s="29"/>
      <c r="AE327" s="29"/>
      <c r="AF327" s="29"/>
    </row>
    <row r="328" ht="23.25" customHeight="1">
      <c r="A328" s="29"/>
      <c r="B328" s="29"/>
      <c r="C328" s="29"/>
      <c r="D328" s="2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60"/>
      <c r="U328" s="160"/>
      <c r="V328" s="160"/>
      <c r="W328" s="160"/>
      <c r="X328" s="160"/>
      <c r="Y328" s="160"/>
      <c r="Z328" s="29"/>
      <c r="AA328" s="29"/>
      <c r="AB328" s="29"/>
      <c r="AC328" s="29"/>
      <c r="AD328" s="29"/>
      <c r="AE328" s="29"/>
      <c r="AF328" s="29"/>
    </row>
    <row r="329" ht="23.25" customHeight="1">
      <c r="A329" s="29"/>
      <c r="B329" s="29"/>
      <c r="C329" s="29"/>
      <c r="D329" s="2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60"/>
      <c r="U329" s="160"/>
      <c r="V329" s="160"/>
      <c r="W329" s="160"/>
      <c r="X329" s="160"/>
      <c r="Y329" s="160"/>
      <c r="Z329" s="29"/>
      <c r="AA329" s="29"/>
      <c r="AB329" s="29"/>
      <c r="AC329" s="29"/>
      <c r="AD329" s="29"/>
      <c r="AE329" s="29"/>
      <c r="AF329" s="29"/>
    </row>
    <row r="330" ht="23.25" customHeight="1">
      <c r="A330" s="29"/>
      <c r="B330" s="29"/>
      <c r="C330" s="29"/>
      <c r="D330" s="2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60"/>
      <c r="U330" s="160"/>
      <c r="V330" s="160"/>
      <c r="W330" s="160"/>
      <c r="X330" s="160"/>
      <c r="Y330" s="160"/>
      <c r="Z330" s="29"/>
      <c r="AA330" s="29"/>
      <c r="AB330" s="29"/>
      <c r="AC330" s="29"/>
      <c r="AD330" s="29"/>
      <c r="AE330" s="29"/>
      <c r="AF330" s="29"/>
    </row>
    <row r="331" ht="23.25" customHeight="1">
      <c r="A331" s="29"/>
      <c r="B331" s="29"/>
      <c r="C331" s="29"/>
      <c r="D331" s="2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60"/>
      <c r="U331" s="160"/>
      <c r="V331" s="160"/>
      <c r="W331" s="160"/>
      <c r="X331" s="160"/>
      <c r="Y331" s="160"/>
      <c r="Z331" s="29"/>
      <c r="AA331" s="29"/>
      <c r="AB331" s="29"/>
      <c r="AC331" s="29"/>
      <c r="AD331" s="29"/>
      <c r="AE331" s="29"/>
      <c r="AF331" s="29"/>
    </row>
    <row r="332" ht="23.25" customHeight="1">
      <c r="A332" s="29"/>
      <c r="B332" s="29"/>
      <c r="C332" s="29"/>
      <c r="D332" s="2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60"/>
      <c r="U332" s="160"/>
      <c r="V332" s="160"/>
      <c r="W332" s="160"/>
      <c r="X332" s="160"/>
      <c r="Y332" s="160"/>
      <c r="Z332" s="29"/>
      <c r="AA332" s="29"/>
      <c r="AB332" s="29"/>
      <c r="AC332" s="29"/>
      <c r="AD332" s="29"/>
      <c r="AE332" s="29"/>
      <c r="AF332" s="29"/>
    </row>
    <row r="333" ht="23.25" customHeight="1">
      <c r="A333" s="29"/>
      <c r="B333" s="29"/>
      <c r="C333" s="29"/>
      <c r="D333" s="2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60"/>
      <c r="U333" s="160"/>
      <c r="V333" s="160"/>
      <c r="W333" s="160"/>
      <c r="X333" s="160"/>
      <c r="Y333" s="160"/>
      <c r="Z333" s="29"/>
      <c r="AA333" s="29"/>
      <c r="AB333" s="29"/>
      <c r="AC333" s="29"/>
      <c r="AD333" s="29"/>
      <c r="AE333" s="29"/>
      <c r="AF333" s="29"/>
    </row>
    <row r="334" ht="23.25" customHeight="1">
      <c r="A334" s="29"/>
      <c r="B334" s="29"/>
      <c r="C334" s="29"/>
      <c r="D334" s="2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60"/>
      <c r="U334" s="160"/>
      <c r="V334" s="160"/>
      <c r="W334" s="160"/>
      <c r="X334" s="160"/>
      <c r="Y334" s="160"/>
      <c r="Z334" s="29"/>
      <c r="AA334" s="29"/>
      <c r="AB334" s="29"/>
      <c r="AC334" s="29"/>
      <c r="AD334" s="29"/>
      <c r="AE334" s="29"/>
      <c r="AF334" s="29"/>
    </row>
    <row r="335" ht="23.25" customHeight="1">
      <c r="A335" s="29"/>
      <c r="B335" s="29"/>
      <c r="C335" s="29"/>
      <c r="D335" s="2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60"/>
      <c r="U335" s="160"/>
      <c r="V335" s="160"/>
      <c r="W335" s="160"/>
      <c r="X335" s="160"/>
      <c r="Y335" s="160"/>
      <c r="Z335" s="29"/>
      <c r="AA335" s="29"/>
      <c r="AB335" s="29"/>
      <c r="AC335" s="29"/>
      <c r="AD335" s="29"/>
      <c r="AE335" s="29"/>
      <c r="AF335" s="29"/>
    </row>
    <row r="336" ht="23.25" customHeight="1">
      <c r="A336" s="29"/>
      <c r="B336" s="29"/>
      <c r="C336" s="29"/>
      <c r="D336" s="2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60"/>
      <c r="U336" s="160"/>
      <c r="V336" s="160"/>
      <c r="W336" s="160"/>
      <c r="X336" s="160"/>
      <c r="Y336" s="160"/>
      <c r="Z336" s="29"/>
      <c r="AA336" s="29"/>
      <c r="AB336" s="29"/>
      <c r="AC336" s="29"/>
      <c r="AD336" s="29"/>
      <c r="AE336" s="29"/>
      <c r="AF336" s="29"/>
    </row>
    <row r="337" ht="23.25" customHeight="1">
      <c r="A337" s="29"/>
      <c r="B337" s="29"/>
      <c r="C337" s="29"/>
      <c r="D337" s="2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60"/>
      <c r="U337" s="160"/>
      <c r="V337" s="160"/>
      <c r="W337" s="160"/>
      <c r="X337" s="160"/>
      <c r="Y337" s="160"/>
      <c r="Z337" s="29"/>
      <c r="AA337" s="29"/>
      <c r="AB337" s="29"/>
      <c r="AC337" s="29"/>
      <c r="AD337" s="29"/>
      <c r="AE337" s="29"/>
      <c r="AF337" s="29"/>
    </row>
    <row r="338" ht="23.25" customHeight="1">
      <c r="A338" s="29"/>
      <c r="B338" s="29"/>
      <c r="C338" s="29"/>
      <c r="D338" s="2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60"/>
      <c r="U338" s="160"/>
      <c r="V338" s="160"/>
      <c r="W338" s="160"/>
      <c r="X338" s="160"/>
      <c r="Y338" s="160"/>
      <c r="Z338" s="29"/>
      <c r="AA338" s="29"/>
      <c r="AB338" s="29"/>
      <c r="AC338" s="29"/>
      <c r="AD338" s="29"/>
      <c r="AE338" s="29"/>
      <c r="AF338" s="29"/>
    </row>
    <row r="339" ht="23.25" customHeight="1">
      <c r="A339" s="29"/>
      <c r="B339" s="29"/>
      <c r="C339" s="29"/>
      <c r="D339" s="2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60"/>
      <c r="U339" s="160"/>
      <c r="V339" s="160"/>
      <c r="W339" s="160"/>
      <c r="X339" s="160"/>
      <c r="Y339" s="160"/>
      <c r="Z339" s="29"/>
      <c r="AA339" s="29"/>
      <c r="AB339" s="29"/>
      <c r="AC339" s="29"/>
      <c r="AD339" s="29"/>
      <c r="AE339" s="29"/>
      <c r="AF339" s="29"/>
    </row>
    <row r="340" ht="23.25" customHeight="1">
      <c r="A340" s="29"/>
      <c r="B340" s="29"/>
      <c r="C340" s="29"/>
      <c r="D340" s="2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60"/>
      <c r="U340" s="160"/>
      <c r="V340" s="160"/>
      <c r="W340" s="160"/>
      <c r="X340" s="160"/>
      <c r="Y340" s="160"/>
      <c r="Z340" s="29"/>
      <c r="AA340" s="29"/>
      <c r="AB340" s="29"/>
      <c r="AC340" s="29"/>
      <c r="AD340" s="29"/>
      <c r="AE340" s="29"/>
      <c r="AF340" s="29"/>
    </row>
    <row r="341" ht="23.25" customHeight="1">
      <c r="A341" s="29"/>
      <c r="B341" s="29"/>
      <c r="C341" s="29"/>
      <c r="D341" s="2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60"/>
      <c r="U341" s="160"/>
      <c r="V341" s="160"/>
      <c r="W341" s="160"/>
      <c r="X341" s="160"/>
      <c r="Y341" s="160"/>
      <c r="Z341" s="29"/>
      <c r="AA341" s="29"/>
      <c r="AB341" s="29"/>
      <c r="AC341" s="29"/>
      <c r="AD341" s="29"/>
      <c r="AE341" s="29"/>
      <c r="AF341" s="29"/>
    </row>
    <row r="342" ht="23.25" customHeight="1">
      <c r="A342" s="29"/>
      <c r="B342" s="29"/>
      <c r="C342" s="29"/>
      <c r="D342" s="2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60"/>
      <c r="U342" s="160"/>
      <c r="V342" s="160"/>
      <c r="W342" s="160"/>
      <c r="X342" s="160"/>
      <c r="Y342" s="160"/>
      <c r="Z342" s="29"/>
      <c r="AA342" s="29"/>
      <c r="AB342" s="29"/>
      <c r="AC342" s="29"/>
      <c r="AD342" s="29"/>
      <c r="AE342" s="29"/>
      <c r="AF342" s="29"/>
    </row>
    <row r="343" ht="23.25" customHeight="1">
      <c r="A343" s="29"/>
      <c r="B343" s="29"/>
      <c r="C343" s="29"/>
      <c r="D343" s="2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60"/>
      <c r="U343" s="160"/>
      <c r="V343" s="160"/>
      <c r="W343" s="160"/>
      <c r="X343" s="160"/>
      <c r="Y343" s="160"/>
      <c r="Z343" s="29"/>
      <c r="AA343" s="29"/>
      <c r="AB343" s="29"/>
      <c r="AC343" s="29"/>
      <c r="AD343" s="29"/>
      <c r="AE343" s="29"/>
      <c r="AF343" s="29"/>
    </row>
    <row r="344" ht="23.25" customHeight="1">
      <c r="A344" s="29"/>
      <c r="B344" s="29"/>
      <c r="C344" s="29"/>
      <c r="D344" s="2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60"/>
      <c r="U344" s="160"/>
      <c r="V344" s="160"/>
      <c r="W344" s="160"/>
      <c r="X344" s="160"/>
      <c r="Y344" s="160"/>
      <c r="Z344" s="29"/>
      <c r="AA344" s="29"/>
      <c r="AB344" s="29"/>
      <c r="AC344" s="29"/>
      <c r="AD344" s="29"/>
      <c r="AE344" s="29"/>
      <c r="AF344" s="29"/>
    </row>
    <row r="345" ht="23.25" customHeight="1">
      <c r="A345" s="29"/>
      <c r="B345" s="29"/>
      <c r="C345" s="29"/>
      <c r="D345" s="2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60"/>
      <c r="U345" s="160"/>
      <c r="V345" s="160"/>
      <c r="W345" s="160"/>
      <c r="X345" s="160"/>
      <c r="Y345" s="160"/>
      <c r="Z345" s="29"/>
      <c r="AA345" s="29"/>
      <c r="AB345" s="29"/>
      <c r="AC345" s="29"/>
      <c r="AD345" s="29"/>
      <c r="AE345" s="29"/>
      <c r="AF345" s="29"/>
    </row>
    <row r="346" ht="23.25" customHeight="1">
      <c r="A346" s="29"/>
      <c r="B346" s="29"/>
      <c r="C346" s="29"/>
      <c r="D346" s="2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60"/>
      <c r="U346" s="160"/>
      <c r="V346" s="160"/>
      <c r="W346" s="160"/>
      <c r="X346" s="160"/>
      <c r="Y346" s="160"/>
      <c r="Z346" s="29"/>
      <c r="AA346" s="29"/>
      <c r="AB346" s="29"/>
      <c r="AC346" s="29"/>
      <c r="AD346" s="29"/>
      <c r="AE346" s="29"/>
      <c r="AF346" s="29"/>
    </row>
    <row r="347" ht="23.25" customHeight="1">
      <c r="A347" s="29"/>
      <c r="B347" s="29"/>
      <c r="C347" s="29"/>
      <c r="D347" s="2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60"/>
      <c r="U347" s="160"/>
      <c r="V347" s="160"/>
      <c r="W347" s="160"/>
      <c r="X347" s="160"/>
      <c r="Y347" s="160"/>
      <c r="Z347" s="29"/>
      <c r="AA347" s="29"/>
      <c r="AB347" s="29"/>
      <c r="AC347" s="29"/>
      <c r="AD347" s="29"/>
      <c r="AE347" s="29"/>
      <c r="AF347" s="29"/>
    </row>
    <row r="348" ht="23.25" customHeight="1">
      <c r="A348" s="29"/>
      <c r="B348" s="29"/>
      <c r="C348" s="29"/>
      <c r="D348" s="2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60"/>
      <c r="U348" s="160"/>
      <c r="V348" s="160"/>
      <c r="W348" s="160"/>
      <c r="X348" s="160"/>
      <c r="Y348" s="160"/>
      <c r="Z348" s="29"/>
      <c r="AA348" s="29"/>
      <c r="AB348" s="29"/>
      <c r="AC348" s="29"/>
      <c r="AD348" s="29"/>
      <c r="AE348" s="29"/>
      <c r="AF348" s="29"/>
    </row>
    <row r="349" ht="23.25" customHeight="1">
      <c r="A349" s="29"/>
      <c r="B349" s="29"/>
      <c r="C349" s="29"/>
      <c r="D349" s="2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60"/>
      <c r="U349" s="160"/>
      <c r="V349" s="160"/>
      <c r="W349" s="160"/>
      <c r="X349" s="160"/>
      <c r="Y349" s="160"/>
      <c r="Z349" s="29"/>
      <c r="AA349" s="29"/>
      <c r="AB349" s="29"/>
      <c r="AC349" s="29"/>
      <c r="AD349" s="29"/>
      <c r="AE349" s="29"/>
      <c r="AF349" s="29"/>
    </row>
    <row r="350" ht="23.25" customHeight="1">
      <c r="A350" s="29"/>
      <c r="B350" s="29"/>
      <c r="C350" s="29"/>
      <c r="D350" s="2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60"/>
      <c r="U350" s="160"/>
      <c r="V350" s="160"/>
      <c r="W350" s="160"/>
      <c r="X350" s="160"/>
      <c r="Y350" s="160"/>
      <c r="Z350" s="29"/>
      <c r="AA350" s="29"/>
      <c r="AB350" s="29"/>
      <c r="AC350" s="29"/>
      <c r="AD350" s="29"/>
      <c r="AE350" s="29"/>
      <c r="AF350" s="29"/>
    </row>
    <row r="351" ht="23.25" customHeight="1">
      <c r="A351" s="29"/>
      <c r="B351" s="29"/>
      <c r="C351" s="29"/>
      <c r="D351" s="2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60"/>
      <c r="U351" s="160"/>
      <c r="V351" s="160"/>
      <c r="W351" s="160"/>
      <c r="X351" s="160"/>
      <c r="Y351" s="160"/>
      <c r="Z351" s="29"/>
      <c r="AA351" s="29"/>
      <c r="AB351" s="29"/>
      <c r="AC351" s="29"/>
      <c r="AD351" s="29"/>
      <c r="AE351" s="29"/>
      <c r="AF351" s="29"/>
    </row>
    <row r="352" ht="23.25" customHeight="1">
      <c r="A352" s="29"/>
      <c r="B352" s="29"/>
      <c r="C352" s="29"/>
      <c r="D352" s="2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60"/>
      <c r="U352" s="160"/>
      <c r="V352" s="160"/>
      <c r="W352" s="160"/>
      <c r="X352" s="160"/>
      <c r="Y352" s="160"/>
      <c r="Z352" s="29"/>
      <c r="AA352" s="29"/>
      <c r="AB352" s="29"/>
      <c r="AC352" s="29"/>
      <c r="AD352" s="29"/>
      <c r="AE352" s="29"/>
      <c r="AF352" s="29"/>
    </row>
    <row r="353" ht="23.25" customHeight="1">
      <c r="A353" s="29"/>
      <c r="B353" s="29"/>
      <c r="C353" s="29"/>
      <c r="D353" s="2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60"/>
      <c r="U353" s="160"/>
      <c r="V353" s="160"/>
      <c r="W353" s="160"/>
      <c r="X353" s="160"/>
      <c r="Y353" s="160"/>
      <c r="Z353" s="29"/>
      <c r="AA353" s="29"/>
      <c r="AB353" s="29"/>
      <c r="AC353" s="29"/>
      <c r="AD353" s="29"/>
      <c r="AE353" s="29"/>
      <c r="AF353" s="29"/>
    </row>
    <row r="354" ht="23.25" customHeight="1">
      <c r="A354" s="29"/>
      <c r="B354" s="29"/>
      <c r="C354" s="29"/>
      <c r="D354" s="2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60"/>
      <c r="U354" s="160"/>
      <c r="V354" s="160"/>
      <c r="W354" s="160"/>
      <c r="X354" s="160"/>
      <c r="Y354" s="160"/>
      <c r="Z354" s="29"/>
      <c r="AA354" s="29"/>
      <c r="AB354" s="29"/>
      <c r="AC354" s="29"/>
      <c r="AD354" s="29"/>
      <c r="AE354" s="29"/>
      <c r="AF354" s="29"/>
    </row>
    <row r="355" ht="23.25" customHeight="1">
      <c r="A355" s="29"/>
      <c r="B355" s="29"/>
      <c r="C355" s="29"/>
      <c r="D355" s="2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60"/>
      <c r="U355" s="160"/>
      <c r="V355" s="160"/>
      <c r="W355" s="160"/>
      <c r="X355" s="160"/>
      <c r="Y355" s="160"/>
      <c r="Z355" s="29"/>
      <c r="AA355" s="29"/>
      <c r="AB355" s="29"/>
      <c r="AC355" s="29"/>
      <c r="AD355" s="29"/>
      <c r="AE355" s="29"/>
      <c r="AF355" s="29"/>
    </row>
    <row r="356" ht="23.25" customHeight="1">
      <c r="A356" s="29"/>
      <c r="B356" s="29"/>
      <c r="C356" s="29"/>
      <c r="D356" s="2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60"/>
      <c r="U356" s="160"/>
      <c r="V356" s="160"/>
      <c r="W356" s="160"/>
      <c r="X356" s="160"/>
      <c r="Y356" s="160"/>
      <c r="Z356" s="29"/>
      <c r="AA356" s="29"/>
      <c r="AB356" s="29"/>
      <c r="AC356" s="29"/>
      <c r="AD356" s="29"/>
      <c r="AE356" s="29"/>
      <c r="AF356" s="29"/>
    </row>
    <row r="357" ht="23.25" customHeight="1">
      <c r="A357" s="29"/>
      <c r="B357" s="29"/>
      <c r="C357" s="29"/>
      <c r="D357" s="2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60"/>
      <c r="U357" s="160"/>
      <c r="V357" s="160"/>
      <c r="W357" s="160"/>
      <c r="X357" s="160"/>
      <c r="Y357" s="160"/>
      <c r="Z357" s="29"/>
      <c r="AA357" s="29"/>
      <c r="AB357" s="29"/>
      <c r="AC357" s="29"/>
      <c r="AD357" s="29"/>
      <c r="AE357" s="29"/>
      <c r="AF357" s="29"/>
    </row>
    <row r="358" ht="23.25" customHeight="1">
      <c r="A358" s="29"/>
      <c r="B358" s="29"/>
      <c r="C358" s="29"/>
      <c r="D358" s="2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60"/>
      <c r="U358" s="160"/>
      <c r="V358" s="160"/>
      <c r="W358" s="160"/>
      <c r="X358" s="160"/>
      <c r="Y358" s="160"/>
      <c r="Z358" s="29"/>
      <c r="AA358" s="29"/>
      <c r="AB358" s="29"/>
      <c r="AC358" s="29"/>
      <c r="AD358" s="29"/>
      <c r="AE358" s="29"/>
      <c r="AF358" s="29"/>
    </row>
    <row r="359" ht="23.25" customHeight="1">
      <c r="A359" s="29"/>
      <c r="B359" s="29"/>
      <c r="C359" s="29"/>
      <c r="D359" s="2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60"/>
      <c r="U359" s="160"/>
      <c r="V359" s="160"/>
      <c r="W359" s="160"/>
      <c r="X359" s="160"/>
      <c r="Y359" s="160"/>
      <c r="Z359" s="29"/>
      <c r="AA359" s="29"/>
      <c r="AB359" s="29"/>
      <c r="AC359" s="29"/>
      <c r="AD359" s="29"/>
      <c r="AE359" s="29"/>
      <c r="AF359" s="29"/>
    </row>
    <row r="360" ht="23.25" customHeight="1">
      <c r="A360" s="29"/>
      <c r="B360" s="29"/>
      <c r="C360" s="29"/>
      <c r="D360" s="2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60"/>
      <c r="U360" s="160"/>
      <c r="V360" s="160"/>
      <c r="W360" s="160"/>
      <c r="X360" s="160"/>
      <c r="Y360" s="160"/>
      <c r="Z360" s="29"/>
      <c r="AA360" s="29"/>
      <c r="AB360" s="29"/>
      <c r="AC360" s="29"/>
      <c r="AD360" s="29"/>
      <c r="AE360" s="29"/>
      <c r="AF360" s="29"/>
    </row>
    <row r="361" ht="23.25" customHeight="1">
      <c r="A361" s="29"/>
      <c r="B361" s="29"/>
      <c r="C361" s="29"/>
      <c r="D361" s="2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60"/>
      <c r="U361" s="160"/>
      <c r="V361" s="160"/>
      <c r="W361" s="160"/>
      <c r="X361" s="160"/>
      <c r="Y361" s="160"/>
      <c r="Z361" s="29"/>
      <c r="AA361" s="29"/>
      <c r="AB361" s="29"/>
      <c r="AC361" s="29"/>
      <c r="AD361" s="29"/>
      <c r="AE361" s="29"/>
      <c r="AF361" s="29"/>
    </row>
    <row r="362" ht="23.25" customHeight="1">
      <c r="A362" s="29"/>
      <c r="B362" s="29"/>
      <c r="C362" s="29"/>
      <c r="D362" s="2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60"/>
      <c r="U362" s="160"/>
      <c r="V362" s="160"/>
      <c r="W362" s="160"/>
      <c r="X362" s="160"/>
      <c r="Y362" s="160"/>
      <c r="Z362" s="29"/>
      <c r="AA362" s="29"/>
      <c r="AB362" s="29"/>
      <c r="AC362" s="29"/>
      <c r="AD362" s="29"/>
      <c r="AE362" s="29"/>
      <c r="AF362" s="29"/>
    </row>
    <row r="363" ht="23.25" customHeight="1">
      <c r="A363" s="29"/>
      <c r="B363" s="29"/>
      <c r="C363" s="29"/>
      <c r="D363" s="2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60"/>
      <c r="U363" s="160"/>
      <c r="V363" s="160"/>
      <c r="W363" s="160"/>
      <c r="X363" s="160"/>
      <c r="Y363" s="160"/>
      <c r="Z363" s="29"/>
      <c r="AA363" s="29"/>
      <c r="AB363" s="29"/>
      <c r="AC363" s="29"/>
      <c r="AD363" s="29"/>
      <c r="AE363" s="29"/>
      <c r="AF363" s="29"/>
    </row>
    <row r="364" ht="23.25" customHeight="1">
      <c r="A364" s="29"/>
      <c r="B364" s="29"/>
      <c r="C364" s="29"/>
      <c r="D364" s="2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60"/>
      <c r="U364" s="160"/>
      <c r="V364" s="160"/>
      <c r="W364" s="160"/>
      <c r="X364" s="160"/>
      <c r="Y364" s="160"/>
      <c r="Z364" s="29"/>
      <c r="AA364" s="29"/>
      <c r="AB364" s="29"/>
      <c r="AC364" s="29"/>
      <c r="AD364" s="29"/>
      <c r="AE364" s="29"/>
      <c r="AF364" s="29"/>
    </row>
    <row r="365" ht="23.25" customHeight="1">
      <c r="A365" s="29"/>
      <c r="B365" s="29"/>
      <c r="C365" s="29"/>
      <c r="D365" s="2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60"/>
      <c r="U365" s="160"/>
      <c r="V365" s="160"/>
      <c r="W365" s="160"/>
      <c r="X365" s="160"/>
      <c r="Y365" s="160"/>
      <c r="Z365" s="29"/>
      <c r="AA365" s="29"/>
      <c r="AB365" s="29"/>
      <c r="AC365" s="29"/>
      <c r="AD365" s="29"/>
      <c r="AE365" s="29"/>
      <c r="AF365" s="29"/>
    </row>
    <row r="366" ht="23.25" customHeight="1">
      <c r="A366" s="29"/>
      <c r="B366" s="29"/>
      <c r="C366" s="29"/>
      <c r="D366" s="2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60"/>
      <c r="U366" s="160"/>
      <c r="V366" s="160"/>
      <c r="W366" s="160"/>
      <c r="X366" s="160"/>
      <c r="Y366" s="160"/>
      <c r="Z366" s="29"/>
      <c r="AA366" s="29"/>
      <c r="AB366" s="29"/>
      <c r="AC366" s="29"/>
      <c r="AD366" s="29"/>
      <c r="AE366" s="29"/>
      <c r="AF366" s="29"/>
    </row>
    <row r="367" ht="23.25" customHeight="1">
      <c r="A367" s="29"/>
      <c r="B367" s="29"/>
      <c r="C367" s="29"/>
      <c r="D367" s="2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60"/>
      <c r="U367" s="160"/>
      <c r="V367" s="160"/>
      <c r="W367" s="160"/>
      <c r="X367" s="160"/>
      <c r="Y367" s="160"/>
      <c r="Z367" s="29"/>
      <c r="AA367" s="29"/>
      <c r="AB367" s="29"/>
      <c r="AC367" s="29"/>
      <c r="AD367" s="29"/>
      <c r="AE367" s="29"/>
      <c r="AF367" s="29"/>
    </row>
    <row r="368" ht="23.25" customHeight="1">
      <c r="A368" s="29"/>
      <c r="B368" s="29"/>
      <c r="C368" s="29"/>
      <c r="D368" s="2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60"/>
      <c r="U368" s="160"/>
      <c r="V368" s="160"/>
      <c r="W368" s="160"/>
      <c r="X368" s="160"/>
      <c r="Y368" s="160"/>
      <c r="Z368" s="29"/>
      <c r="AA368" s="29"/>
      <c r="AB368" s="29"/>
      <c r="AC368" s="29"/>
      <c r="AD368" s="29"/>
      <c r="AE368" s="29"/>
      <c r="AF368" s="29"/>
    </row>
    <row r="369" ht="23.25" customHeight="1">
      <c r="A369" s="29"/>
      <c r="B369" s="29"/>
      <c r="C369" s="29"/>
      <c r="D369" s="2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60"/>
      <c r="U369" s="160"/>
      <c r="V369" s="160"/>
      <c r="W369" s="160"/>
      <c r="X369" s="160"/>
      <c r="Y369" s="160"/>
      <c r="Z369" s="29"/>
      <c r="AA369" s="29"/>
      <c r="AB369" s="29"/>
      <c r="AC369" s="29"/>
      <c r="AD369" s="29"/>
      <c r="AE369" s="29"/>
      <c r="AF369" s="29"/>
    </row>
    <row r="370" ht="23.25" customHeight="1">
      <c r="A370" s="29"/>
      <c r="B370" s="29"/>
      <c r="C370" s="29"/>
      <c r="D370" s="2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60"/>
      <c r="U370" s="160"/>
      <c r="V370" s="160"/>
      <c r="W370" s="160"/>
      <c r="X370" s="160"/>
      <c r="Y370" s="160"/>
      <c r="Z370" s="29"/>
      <c r="AA370" s="29"/>
      <c r="AB370" s="29"/>
      <c r="AC370" s="29"/>
      <c r="AD370" s="29"/>
      <c r="AE370" s="29"/>
      <c r="AF370" s="29"/>
    </row>
    <row r="371" ht="23.25" customHeight="1">
      <c r="A371" s="29"/>
      <c r="B371" s="29"/>
      <c r="C371" s="29"/>
      <c r="D371" s="2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60"/>
      <c r="U371" s="160"/>
      <c r="V371" s="160"/>
      <c r="W371" s="160"/>
      <c r="X371" s="160"/>
      <c r="Y371" s="160"/>
      <c r="Z371" s="29"/>
      <c r="AA371" s="29"/>
      <c r="AB371" s="29"/>
      <c r="AC371" s="29"/>
      <c r="AD371" s="29"/>
      <c r="AE371" s="29"/>
      <c r="AF371" s="29"/>
    </row>
    <row r="372" ht="23.25" customHeight="1">
      <c r="A372" s="29"/>
      <c r="B372" s="29"/>
      <c r="C372" s="29"/>
      <c r="D372" s="2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60"/>
      <c r="U372" s="160"/>
      <c r="V372" s="160"/>
      <c r="W372" s="160"/>
      <c r="X372" s="160"/>
      <c r="Y372" s="160"/>
      <c r="Z372" s="29"/>
      <c r="AA372" s="29"/>
      <c r="AB372" s="29"/>
      <c r="AC372" s="29"/>
      <c r="AD372" s="29"/>
      <c r="AE372" s="29"/>
      <c r="AF372" s="29"/>
    </row>
    <row r="373" ht="23.25" customHeight="1">
      <c r="A373" s="29"/>
      <c r="B373" s="29"/>
      <c r="C373" s="29"/>
      <c r="D373" s="2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60"/>
      <c r="U373" s="160"/>
      <c r="V373" s="160"/>
      <c r="W373" s="160"/>
      <c r="X373" s="160"/>
      <c r="Y373" s="160"/>
      <c r="Z373" s="29"/>
      <c r="AA373" s="29"/>
      <c r="AB373" s="29"/>
      <c r="AC373" s="29"/>
      <c r="AD373" s="29"/>
      <c r="AE373" s="29"/>
      <c r="AF373" s="29"/>
    </row>
    <row r="374" ht="23.25" customHeight="1">
      <c r="A374" s="29"/>
      <c r="B374" s="29"/>
      <c r="C374" s="29"/>
      <c r="D374" s="2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60"/>
      <c r="U374" s="160"/>
      <c r="V374" s="160"/>
      <c r="W374" s="160"/>
      <c r="X374" s="160"/>
      <c r="Y374" s="160"/>
      <c r="Z374" s="29"/>
      <c r="AA374" s="29"/>
      <c r="AB374" s="29"/>
      <c r="AC374" s="29"/>
      <c r="AD374" s="29"/>
      <c r="AE374" s="29"/>
      <c r="AF374" s="29"/>
    </row>
    <row r="375" ht="23.25" customHeight="1">
      <c r="A375" s="29"/>
      <c r="B375" s="29"/>
      <c r="C375" s="29"/>
      <c r="D375" s="2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60"/>
      <c r="U375" s="160"/>
      <c r="V375" s="160"/>
      <c r="W375" s="160"/>
      <c r="X375" s="160"/>
      <c r="Y375" s="160"/>
      <c r="Z375" s="29"/>
      <c r="AA375" s="29"/>
      <c r="AB375" s="29"/>
      <c r="AC375" s="29"/>
      <c r="AD375" s="29"/>
      <c r="AE375" s="29"/>
      <c r="AF375" s="29"/>
    </row>
    <row r="376" ht="23.25" customHeight="1">
      <c r="A376" s="29"/>
      <c r="B376" s="29"/>
      <c r="C376" s="29"/>
      <c r="D376" s="2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60"/>
      <c r="U376" s="160"/>
      <c r="V376" s="160"/>
      <c r="W376" s="160"/>
      <c r="X376" s="160"/>
      <c r="Y376" s="160"/>
      <c r="Z376" s="29"/>
      <c r="AA376" s="29"/>
      <c r="AB376" s="29"/>
      <c r="AC376" s="29"/>
      <c r="AD376" s="29"/>
      <c r="AE376" s="29"/>
      <c r="AF376" s="29"/>
    </row>
    <row r="377" ht="23.25" customHeight="1">
      <c r="A377" s="29"/>
      <c r="B377" s="29"/>
      <c r="C377" s="29"/>
      <c r="D377" s="2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60"/>
      <c r="U377" s="160"/>
      <c r="V377" s="160"/>
      <c r="W377" s="160"/>
      <c r="X377" s="160"/>
      <c r="Y377" s="160"/>
      <c r="Z377" s="29"/>
      <c r="AA377" s="29"/>
      <c r="AB377" s="29"/>
      <c r="AC377" s="29"/>
      <c r="AD377" s="29"/>
      <c r="AE377" s="29"/>
      <c r="AF377" s="29"/>
    </row>
    <row r="378" ht="23.25" customHeight="1">
      <c r="A378" s="29"/>
      <c r="B378" s="29"/>
      <c r="C378" s="29"/>
      <c r="D378" s="2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60"/>
      <c r="U378" s="160"/>
      <c r="V378" s="160"/>
      <c r="W378" s="160"/>
      <c r="X378" s="160"/>
      <c r="Y378" s="160"/>
      <c r="Z378" s="29"/>
      <c r="AA378" s="29"/>
      <c r="AB378" s="29"/>
      <c r="AC378" s="29"/>
      <c r="AD378" s="29"/>
      <c r="AE378" s="29"/>
      <c r="AF378" s="29"/>
    </row>
    <row r="379" ht="23.25" customHeight="1">
      <c r="A379" s="29"/>
      <c r="B379" s="29"/>
      <c r="C379" s="29"/>
      <c r="D379" s="2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60"/>
      <c r="U379" s="160"/>
      <c r="V379" s="160"/>
      <c r="W379" s="160"/>
      <c r="X379" s="160"/>
      <c r="Y379" s="160"/>
      <c r="Z379" s="29"/>
      <c r="AA379" s="29"/>
      <c r="AB379" s="29"/>
      <c r="AC379" s="29"/>
      <c r="AD379" s="29"/>
      <c r="AE379" s="29"/>
      <c r="AF379" s="29"/>
    </row>
    <row r="380" ht="23.25" customHeight="1">
      <c r="A380" s="29"/>
      <c r="B380" s="29"/>
      <c r="C380" s="29"/>
      <c r="D380" s="2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60"/>
      <c r="U380" s="160"/>
      <c r="V380" s="160"/>
      <c r="W380" s="160"/>
      <c r="X380" s="160"/>
      <c r="Y380" s="160"/>
      <c r="Z380" s="29"/>
      <c r="AA380" s="29"/>
      <c r="AB380" s="29"/>
      <c r="AC380" s="29"/>
      <c r="AD380" s="29"/>
      <c r="AE380" s="29"/>
      <c r="AF380" s="29"/>
    </row>
    <row r="381" ht="23.25" customHeight="1">
      <c r="A381" s="29"/>
      <c r="B381" s="29"/>
      <c r="C381" s="29"/>
      <c r="D381" s="2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60"/>
      <c r="U381" s="160"/>
      <c r="V381" s="160"/>
      <c r="W381" s="160"/>
      <c r="X381" s="160"/>
      <c r="Y381" s="160"/>
      <c r="Z381" s="29"/>
      <c r="AA381" s="29"/>
      <c r="AB381" s="29"/>
      <c r="AC381" s="29"/>
      <c r="AD381" s="29"/>
      <c r="AE381" s="29"/>
      <c r="AF381" s="29"/>
    </row>
    <row r="382" ht="23.25" customHeight="1">
      <c r="A382" s="29"/>
      <c r="B382" s="29"/>
      <c r="C382" s="29"/>
      <c r="D382" s="2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60"/>
      <c r="U382" s="160"/>
      <c r="V382" s="160"/>
      <c r="W382" s="160"/>
      <c r="X382" s="160"/>
      <c r="Y382" s="160"/>
      <c r="Z382" s="29"/>
      <c r="AA382" s="29"/>
      <c r="AB382" s="29"/>
      <c r="AC382" s="29"/>
      <c r="AD382" s="29"/>
      <c r="AE382" s="29"/>
      <c r="AF382" s="29"/>
    </row>
    <row r="383" ht="23.25" customHeight="1">
      <c r="A383" s="29"/>
      <c r="B383" s="29"/>
      <c r="C383" s="29"/>
      <c r="D383" s="2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60"/>
      <c r="U383" s="160"/>
      <c r="V383" s="160"/>
      <c r="W383" s="160"/>
      <c r="X383" s="160"/>
      <c r="Y383" s="160"/>
      <c r="Z383" s="29"/>
      <c r="AA383" s="29"/>
      <c r="AB383" s="29"/>
      <c r="AC383" s="29"/>
      <c r="AD383" s="29"/>
      <c r="AE383" s="29"/>
      <c r="AF383" s="29"/>
    </row>
    <row r="384" ht="23.25" customHeight="1">
      <c r="A384" s="29"/>
      <c r="B384" s="29"/>
      <c r="C384" s="29"/>
      <c r="D384" s="2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60"/>
      <c r="U384" s="160"/>
      <c r="V384" s="160"/>
      <c r="W384" s="160"/>
      <c r="X384" s="160"/>
      <c r="Y384" s="160"/>
      <c r="Z384" s="29"/>
      <c r="AA384" s="29"/>
      <c r="AB384" s="29"/>
      <c r="AC384" s="29"/>
      <c r="AD384" s="29"/>
      <c r="AE384" s="29"/>
      <c r="AF384" s="29"/>
    </row>
    <row r="385" ht="23.25" customHeight="1">
      <c r="A385" s="29"/>
      <c r="B385" s="29"/>
      <c r="C385" s="29"/>
      <c r="D385" s="2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60"/>
      <c r="U385" s="160"/>
      <c r="V385" s="160"/>
      <c r="W385" s="160"/>
      <c r="X385" s="160"/>
      <c r="Y385" s="160"/>
      <c r="Z385" s="29"/>
      <c r="AA385" s="29"/>
      <c r="AB385" s="29"/>
      <c r="AC385" s="29"/>
      <c r="AD385" s="29"/>
      <c r="AE385" s="29"/>
      <c r="AF385" s="29"/>
    </row>
    <row r="386" ht="23.25" customHeight="1">
      <c r="A386" s="29"/>
      <c r="B386" s="29"/>
      <c r="C386" s="29"/>
      <c r="D386" s="2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60"/>
      <c r="U386" s="160"/>
      <c r="V386" s="160"/>
      <c r="W386" s="160"/>
      <c r="X386" s="160"/>
      <c r="Y386" s="160"/>
      <c r="Z386" s="29"/>
      <c r="AA386" s="29"/>
      <c r="AB386" s="29"/>
      <c r="AC386" s="29"/>
      <c r="AD386" s="29"/>
      <c r="AE386" s="29"/>
      <c r="AF386" s="29"/>
    </row>
    <row r="387" ht="23.25" customHeight="1">
      <c r="A387" s="29"/>
      <c r="B387" s="29"/>
      <c r="C387" s="29"/>
      <c r="D387" s="2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60"/>
      <c r="U387" s="160"/>
      <c r="V387" s="160"/>
      <c r="W387" s="160"/>
      <c r="X387" s="160"/>
      <c r="Y387" s="160"/>
      <c r="Z387" s="29"/>
      <c r="AA387" s="29"/>
      <c r="AB387" s="29"/>
      <c r="AC387" s="29"/>
      <c r="AD387" s="29"/>
      <c r="AE387" s="29"/>
      <c r="AF387" s="29"/>
    </row>
    <row r="388" ht="23.25" customHeight="1">
      <c r="A388" s="29"/>
      <c r="B388" s="29"/>
      <c r="C388" s="29"/>
      <c r="D388" s="2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60"/>
      <c r="U388" s="160"/>
      <c r="V388" s="160"/>
      <c r="W388" s="160"/>
      <c r="X388" s="160"/>
      <c r="Y388" s="160"/>
      <c r="Z388" s="29"/>
      <c r="AA388" s="29"/>
      <c r="AB388" s="29"/>
      <c r="AC388" s="29"/>
      <c r="AD388" s="29"/>
      <c r="AE388" s="29"/>
      <c r="AF388" s="29"/>
    </row>
    <row r="389" ht="23.25" customHeight="1">
      <c r="A389" s="29"/>
      <c r="B389" s="29"/>
      <c r="C389" s="29"/>
      <c r="D389" s="2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60"/>
      <c r="U389" s="160"/>
      <c r="V389" s="160"/>
      <c r="W389" s="160"/>
      <c r="X389" s="160"/>
      <c r="Y389" s="160"/>
      <c r="Z389" s="29"/>
      <c r="AA389" s="29"/>
      <c r="AB389" s="29"/>
      <c r="AC389" s="29"/>
      <c r="AD389" s="29"/>
      <c r="AE389" s="29"/>
      <c r="AF389" s="29"/>
    </row>
    <row r="390" ht="23.25" customHeight="1">
      <c r="A390" s="29"/>
      <c r="B390" s="29"/>
      <c r="C390" s="29"/>
      <c r="D390" s="2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60"/>
      <c r="U390" s="160"/>
      <c r="V390" s="160"/>
      <c r="W390" s="160"/>
      <c r="X390" s="160"/>
      <c r="Y390" s="160"/>
      <c r="Z390" s="29"/>
      <c r="AA390" s="29"/>
      <c r="AB390" s="29"/>
      <c r="AC390" s="29"/>
      <c r="AD390" s="29"/>
      <c r="AE390" s="29"/>
      <c r="AF390" s="29"/>
    </row>
    <row r="391" ht="23.25" customHeight="1">
      <c r="A391" s="29"/>
      <c r="B391" s="29"/>
      <c r="C391" s="29"/>
      <c r="D391" s="2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60"/>
      <c r="U391" s="160"/>
      <c r="V391" s="160"/>
      <c r="W391" s="160"/>
      <c r="X391" s="160"/>
      <c r="Y391" s="160"/>
      <c r="Z391" s="29"/>
      <c r="AA391" s="29"/>
      <c r="AB391" s="29"/>
      <c r="AC391" s="29"/>
      <c r="AD391" s="29"/>
      <c r="AE391" s="29"/>
      <c r="AF391" s="29"/>
    </row>
    <row r="392" ht="23.25" customHeight="1">
      <c r="A392" s="29"/>
      <c r="B392" s="29"/>
      <c r="C392" s="29"/>
      <c r="D392" s="2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60"/>
      <c r="U392" s="160"/>
      <c r="V392" s="160"/>
      <c r="W392" s="160"/>
      <c r="X392" s="160"/>
      <c r="Y392" s="160"/>
      <c r="Z392" s="29"/>
      <c r="AA392" s="29"/>
      <c r="AB392" s="29"/>
      <c r="AC392" s="29"/>
      <c r="AD392" s="29"/>
      <c r="AE392" s="29"/>
      <c r="AF392" s="29"/>
    </row>
    <row r="393" ht="23.25" customHeight="1">
      <c r="A393" s="29"/>
      <c r="B393" s="29"/>
      <c r="C393" s="29"/>
      <c r="D393" s="2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60"/>
      <c r="U393" s="160"/>
      <c r="V393" s="160"/>
      <c r="W393" s="160"/>
      <c r="X393" s="160"/>
      <c r="Y393" s="160"/>
      <c r="Z393" s="29"/>
      <c r="AA393" s="29"/>
      <c r="AB393" s="29"/>
      <c r="AC393" s="29"/>
      <c r="AD393" s="29"/>
      <c r="AE393" s="29"/>
      <c r="AF393" s="29"/>
    </row>
    <row r="394" ht="23.25" customHeight="1">
      <c r="A394" s="29"/>
      <c r="B394" s="29"/>
      <c r="C394" s="29"/>
      <c r="D394" s="2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60"/>
      <c r="U394" s="160"/>
      <c r="V394" s="160"/>
      <c r="W394" s="160"/>
      <c r="X394" s="160"/>
      <c r="Y394" s="160"/>
      <c r="Z394" s="29"/>
      <c r="AA394" s="29"/>
      <c r="AB394" s="29"/>
      <c r="AC394" s="29"/>
      <c r="AD394" s="29"/>
      <c r="AE394" s="29"/>
      <c r="AF394" s="29"/>
    </row>
    <row r="395" ht="23.25" customHeight="1">
      <c r="A395" s="29"/>
      <c r="B395" s="29"/>
      <c r="C395" s="29"/>
      <c r="D395" s="2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60"/>
      <c r="U395" s="160"/>
      <c r="V395" s="160"/>
      <c r="W395" s="160"/>
      <c r="X395" s="160"/>
      <c r="Y395" s="160"/>
      <c r="Z395" s="29"/>
      <c r="AA395" s="29"/>
      <c r="AB395" s="29"/>
      <c r="AC395" s="29"/>
      <c r="AD395" s="29"/>
      <c r="AE395" s="29"/>
      <c r="AF395" s="29"/>
    </row>
    <row r="396" ht="23.25" customHeight="1">
      <c r="A396" s="29"/>
      <c r="B396" s="29"/>
      <c r="C396" s="29"/>
      <c r="D396" s="2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60"/>
      <c r="U396" s="160"/>
      <c r="V396" s="160"/>
      <c r="W396" s="160"/>
      <c r="X396" s="160"/>
      <c r="Y396" s="160"/>
      <c r="Z396" s="29"/>
      <c r="AA396" s="29"/>
      <c r="AB396" s="29"/>
      <c r="AC396" s="29"/>
      <c r="AD396" s="29"/>
      <c r="AE396" s="29"/>
      <c r="AF396" s="29"/>
    </row>
    <row r="397" ht="23.25" customHeight="1">
      <c r="A397" s="29"/>
      <c r="B397" s="29"/>
      <c r="C397" s="29"/>
      <c r="D397" s="2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60"/>
      <c r="U397" s="160"/>
      <c r="V397" s="160"/>
      <c r="W397" s="160"/>
      <c r="X397" s="160"/>
      <c r="Y397" s="160"/>
      <c r="Z397" s="29"/>
      <c r="AA397" s="29"/>
      <c r="AB397" s="29"/>
      <c r="AC397" s="29"/>
      <c r="AD397" s="29"/>
      <c r="AE397" s="29"/>
      <c r="AF397" s="29"/>
    </row>
    <row r="398" ht="23.25" customHeight="1">
      <c r="A398" s="29"/>
      <c r="B398" s="29"/>
      <c r="C398" s="29"/>
      <c r="D398" s="2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60"/>
      <c r="U398" s="160"/>
      <c r="V398" s="160"/>
      <c r="W398" s="160"/>
      <c r="X398" s="160"/>
      <c r="Y398" s="160"/>
      <c r="Z398" s="29"/>
      <c r="AA398" s="29"/>
      <c r="AB398" s="29"/>
      <c r="AC398" s="29"/>
      <c r="AD398" s="29"/>
      <c r="AE398" s="29"/>
      <c r="AF398" s="29"/>
    </row>
    <row r="399" ht="23.25" customHeight="1">
      <c r="A399" s="29"/>
      <c r="B399" s="29"/>
      <c r="C399" s="29"/>
      <c r="D399" s="2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60"/>
      <c r="U399" s="160"/>
      <c r="V399" s="160"/>
      <c r="W399" s="160"/>
      <c r="X399" s="160"/>
      <c r="Y399" s="160"/>
      <c r="Z399" s="29"/>
      <c r="AA399" s="29"/>
      <c r="AB399" s="29"/>
      <c r="AC399" s="29"/>
      <c r="AD399" s="29"/>
      <c r="AE399" s="29"/>
      <c r="AF399" s="29"/>
    </row>
    <row r="400" ht="23.25" customHeight="1">
      <c r="A400" s="29"/>
      <c r="B400" s="29"/>
      <c r="C400" s="29"/>
      <c r="D400" s="2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60"/>
      <c r="U400" s="160"/>
      <c r="V400" s="160"/>
      <c r="W400" s="160"/>
      <c r="X400" s="160"/>
      <c r="Y400" s="160"/>
      <c r="Z400" s="29"/>
      <c r="AA400" s="29"/>
      <c r="AB400" s="29"/>
      <c r="AC400" s="29"/>
      <c r="AD400" s="29"/>
      <c r="AE400" s="29"/>
      <c r="AF400" s="29"/>
    </row>
    <row r="401" ht="23.25" customHeight="1">
      <c r="A401" s="29"/>
      <c r="B401" s="29"/>
      <c r="C401" s="29"/>
      <c r="D401" s="2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60"/>
      <c r="U401" s="160"/>
      <c r="V401" s="160"/>
      <c r="W401" s="160"/>
      <c r="X401" s="160"/>
      <c r="Y401" s="160"/>
      <c r="Z401" s="29"/>
      <c r="AA401" s="29"/>
      <c r="AB401" s="29"/>
      <c r="AC401" s="29"/>
      <c r="AD401" s="29"/>
      <c r="AE401" s="29"/>
      <c r="AF401" s="29"/>
    </row>
    <row r="402" ht="23.25" customHeight="1">
      <c r="A402" s="29"/>
      <c r="B402" s="29"/>
      <c r="C402" s="29"/>
      <c r="D402" s="2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60"/>
      <c r="U402" s="160"/>
      <c r="V402" s="160"/>
      <c r="W402" s="160"/>
      <c r="X402" s="160"/>
      <c r="Y402" s="160"/>
      <c r="Z402" s="29"/>
      <c r="AA402" s="29"/>
      <c r="AB402" s="29"/>
      <c r="AC402" s="29"/>
      <c r="AD402" s="29"/>
      <c r="AE402" s="29"/>
      <c r="AF402" s="29"/>
    </row>
    <row r="403" ht="23.25" customHeight="1">
      <c r="A403" s="29"/>
      <c r="B403" s="29"/>
      <c r="C403" s="29"/>
      <c r="D403" s="2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60"/>
      <c r="U403" s="160"/>
      <c r="V403" s="160"/>
      <c r="W403" s="160"/>
      <c r="X403" s="160"/>
      <c r="Y403" s="160"/>
      <c r="Z403" s="29"/>
      <c r="AA403" s="29"/>
      <c r="AB403" s="29"/>
      <c r="AC403" s="29"/>
      <c r="AD403" s="29"/>
      <c r="AE403" s="29"/>
      <c r="AF403" s="29"/>
    </row>
    <row r="404" ht="23.25" customHeight="1">
      <c r="A404" s="29"/>
      <c r="B404" s="29"/>
      <c r="C404" s="29"/>
      <c r="D404" s="2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60"/>
      <c r="U404" s="160"/>
      <c r="V404" s="160"/>
      <c r="W404" s="160"/>
      <c r="X404" s="160"/>
      <c r="Y404" s="160"/>
      <c r="Z404" s="29"/>
      <c r="AA404" s="29"/>
      <c r="AB404" s="29"/>
      <c r="AC404" s="29"/>
      <c r="AD404" s="29"/>
      <c r="AE404" s="29"/>
      <c r="AF404" s="29"/>
    </row>
    <row r="405" ht="23.25" customHeight="1">
      <c r="A405" s="29"/>
      <c r="B405" s="29"/>
      <c r="C405" s="29"/>
      <c r="D405" s="2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60"/>
      <c r="U405" s="160"/>
      <c r="V405" s="160"/>
      <c r="W405" s="160"/>
      <c r="X405" s="160"/>
      <c r="Y405" s="160"/>
      <c r="Z405" s="29"/>
      <c r="AA405" s="29"/>
      <c r="AB405" s="29"/>
      <c r="AC405" s="29"/>
      <c r="AD405" s="29"/>
      <c r="AE405" s="29"/>
      <c r="AF405" s="29"/>
    </row>
    <row r="406" ht="23.25" customHeight="1">
      <c r="A406" s="29"/>
      <c r="B406" s="29"/>
      <c r="C406" s="29"/>
      <c r="D406" s="2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60"/>
      <c r="U406" s="160"/>
      <c r="V406" s="160"/>
      <c r="W406" s="160"/>
      <c r="X406" s="160"/>
      <c r="Y406" s="160"/>
      <c r="Z406" s="29"/>
      <c r="AA406" s="29"/>
      <c r="AB406" s="29"/>
      <c r="AC406" s="29"/>
      <c r="AD406" s="29"/>
      <c r="AE406" s="29"/>
      <c r="AF406" s="29"/>
    </row>
    <row r="407" ht="23.25" customHeight="1">
      <c r="A407" s="29"/>
      <c r="B407" s="29"/>
      <c r="C407" s="29"/>
      <c r="D407" s="2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60"/>
      <c r="U407" s="160"/>
      <c r="V407" s="160"/>
      <c r="W407" s="160"/>
      <c r="X407" s="160"/>
      <c r="Y407" s="160"/>
      <c r="Z407" s="29"/>
      <c r="AA407" s="29"/>
      <c r="AB407" s="29"/>
      <c r="AC407" s="29"/>
      <c r="AD407" s="29"/>
      <c r="AE407" s="29"/>
      <c r="AF407" s="29"/>
    </row>
    <row r="408" ht="23.25" customHeight="1">
      <c r="A408" s="29"/>
      <c r="B408" s="29"/>
      <c r="C408" s="29"/>
      <c r="D408" s="2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60"/>
      <c r="U408" s="160"/>
      <c r="V408" s="160"/>
      <c r="W408" s="160"/>
      <c r="X408" s="160"/>
      <c r="Y408" s="160"/>
      <c r="Z408" s="29"/>
      <c r="AA408" s="29"/>
      <c r="AB408" s="29"/>
      <c r="AC408" s="29"/>
      <c r="AD408" s="29"/>
      <c r="AE408" s="29"/>
      <c r="AF408" s="29"/>
    </row>
    <row r="409" ht="23.25" customHeight="1">
      <c r="A409" s="29"/>
      <c r="B409" s="29"/>
      <c r="C409" s="29"/>
      <c r="D409" s="2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60"/>
      <c r="U409" s="160"/>
      <c r="V409" s="160"/>
      <c r="W409" s="160"/>
      <c r="X409" s="160"/>
      <c r="Y409" s="160"/>
      <c r="Z409" s="29"/>
      <c r="AA409" s="29"/>
      <c r="AB409" s="29"/>
      <c r="AC409" s="29"/>
      <c r="AD409" s="29"/>
      <c r="AE409" s="29"/>
      <c r="AF409" s="29"/>
    </row>
    <row r="410" ht="23.25" customHeight="1">
      <c r="A410" s="29"/>
      <c r="B410" s="29"/>
      <c r="C410" s="29"/>
      <c r="D410" s="2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60"/>
      <c r="U410" s="160"/>
      <c r="V410" s="160"/>
      <c r="W410" s="160"/>
      <c r="X410" s="160"/>
      <c r="Y410" s="160"/>
      <c r="Z410" s="29"/>
      <c r="AA410" s="29"/>
      <c r="AB410" s="29"/>
      <c r="AC410" s="29"/>
      <c r="AD410" s="29"/>
      <c r="AE410" s="29"/>
      <c r="AF410" s="29"/>
    </row>
    <row r="411" ht="23.25" customHeight="1">
      <c r="A411" s="29"/>
      <c r="B411" s="29"/>
      <c r="C411" s="29"/>
      <c r="D411" s="2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60"/>
      <c r="U411" s="160"/>
      <c r="V411" s="160"/>
      <c r="W411" s="160"/>
      <c r="X411" s="160"/>
      <c r="Y411" s="160"/>
      <c r="Z411" s="29"/>
      <c r="AA411" s="29"/>
      <c r="AB411" s="29"/>
      <c r="AC411" s="29"/>
      <c r="AD411" s="29"/>
      <c r="AE411" s="29"/>
      <c r="AF411" s="29"/>
    </row>
    <row r="412" ht="23.25" customHeight="1">
      <c r="A412" s="29"/>
      <c r="B412" s="29"/>
      <c r="C412" s="29"/>
      <c r="D412" s="2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60"/>
      <c r="U412" s="160"/>
      <c r="V412" s="160"/>
      <c r="W412" s="160"/>
      <c r="X412" s="160"/>
      <c r="Y412" s="160"/>
      <c r="Z412" s="29"/>
      <c r="AA412" s="29"/>
      <c r="AB412" s="29"/>
      <c r="AC412" s="29"/>
      <c r="AD412" s="29"/>
      <c r="AE412" s="29"/>
      <c r="AF412" s="29"/>
    </row>
    <row r="413" ht="23.25" customHeight="1">
      <c r="A413" s="29"/>
      <c r="B413" s="29"/>
      <c r="C413" s="29"/>
      <c r="D413" s="2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60"/>
      <c r="U413" s="160"/>
      <c r="V413" s="160"/>
      <c r="W413" s="160"/>
      <c r="X413" s="160"/>
      <c r="Y413" s="160"/>
      <c r="Z413" s="29"/>
      <c r="AA413" s="29"/>
      <c r="AB413" s="29"/>
      <c r="AC413" s="29"/>
      <c r="AD413" s="29"/>
      <c r="AE413" s="29"/>
      <c r="AF413" s="29"/>
    </row>
    <row r="414" ht="23.25" customHeight="1">
      <c r="A414" s="29"/>
      <c r="B414" s="29"/>
      <c r="C414" s="29"/>
      <c r="D414" s="2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60"/>
      <c r="U414" s="160"/>
      <c r="V414" s="160"/>
      <c r="W414" s="160"/>
      <c r="X414" s="160"/>
      <c r="Y414" s="160"/>
      <c r="Z414" s="29"/>
      <c r="AA414" s="29"/>
      <c r="AB414" s="29"/>
      <c r="AC414" s="29"/>
      <c r="AD414" s="29"/>
      <c r="AE414" s="29"/>
      <c r="AF414" s="29"/>
    </row>
    <row r="415" ht="23.25" customHeight="1">
      <c r="A415" s="29"/>
      <c r="B415" s="29"/>
      <c r="C415" s="29"/>
      <c r="D415" s="2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60"/>
      <c r="U415" s="160"/>
      <c r="V415" s="160"/>
      <c r="W415" s="160"/>
      <c r="X415" s="160"/>
      <c r="Y415" s="160"/>
      <c r="Z415" s="29"/>
      <c r="AA415" s="29"/>
      <c r="AB415" s="29"/>
      <c r="AC415" s="29"/>
      <c r="AD415" s="29"/>
      <c r="AE415" s="29"/>
      <c r="AF415" s="29"/>
    </row>
    <row r="416" ht="23.25" customHeight="1">
      <c r="A416" s="29"/>
      <c r="B416" s="29"/>
      <c r="C416" s="29"/>
      <c r="D416" s="2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60"/>
      <c r="U416" s="160"/>
      <c r="V416" s="160"/>
      <c r="W416" s="160"/>
      <c r="X416" s="160"/>
      <c r="Y416" s="160"/>
      <c r="Z416" s="29"/>
      <c r="AA416" s="29"/>
      <c r="AB416" s="29"/>
      <c r="AC416" s="29"/>
      <c r="AD416" s="29"/>
      <c r="AE416" s="29"/>
      <c r="AF416" s="29"/>
    </row>
    <row r="417" ht="23.25" customHeight="1">
      <c r="A417" s="29"/>
      <c r="B417" s="29"/>
      <c r="C417" s="29"/>
      <c r="D417" s="2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60"/>
      <c r="U417" s="160"/>
      <c r="V417" s="160"/>
      <c r="W417" s="160"/>
      <c r="X417" s="160"/>
      <c r="Y417" s="160"/>
      <c r="Z417" s="29"/>
      <c r="AA417" s="29"/>
      <c r="AB417" s="29"/>
      <c r="AC417" s="29"/>
      <c r="AD417" s="29"/>
      <c r="AE417" s="29"/>
      <c r="AF417" s="29"/>
    </row>
    <row r="418" ht="23.25" customHeight="1">
      <c r="A418" s="29"/>
      <c r="B418" s="29"/>
      <c r="C418" s="29"/>
      <c r="D418" s="2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60"/>
      <c r="U418" s="160"/>
      <c r="V418" s="160"/>
      <c r="W418" s="160"/>
      <c r="X418" s="160"/>
      <c r="Y418" s="160"/>
      <c r="Z418" s="29"/>
      <c r="AA418" s="29"/>
      <c r="AB418" s="29"/>
      <c r="AC418" s="29"/>
      <c r="AD418" s="29"/>
      <c r="AE418" s="29"/>
      <c r="AF418" s="29"/>
    </row>
    <row r="419" ht="23.25" customHeight="1">
      <c r="A419" s="29"/>
      <c r="B419" s="29"/>
      <c r="C419" s="29"/>
      <c r="D419" s="2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60"/>
      <c r="U419" s="160"/>
      <c r="V419" s="160"/>
      <c r="W419" s="160"/>
      <c r="X419" s="160"/>
      <c r="Y419" s="160"/>
      <c r="Z419" s="29"/>
      <c r="AA419" s="29"/>
      <c r="AB419" s="29"/>
      <c r="AC419" s="29"/>
      <c r="AD419" s="29"/>
      <c r="AE419" s="29"/>
      <c r="AF419" s="29"/>
    </row>
    <row r="420" ht="23.25" customHeight="1">
      <c r="A420" s="29"/>
      <c r="B420" s="29"/>
      <c r="C420" s="29"/>
      <c r="D420" s="2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60"/>
      <c r="U420" s="160"/>
      <c r="V420" s="160"/>
      <c r="W420" s="160"/>
      <c r="X420" s="160"/>
      <c r="Y420" s="160"/>
      <c r="Z420" s="29"/>
      <c r="AA420" s="29"/>
      <c r="AB420" s="29"/>
      <c r="AC420" s="29"/>
      <c r="AD420" s="29"/>
      <c r="AE420" s="29"/>
      <c r="AF420" s="29"/>
    </row>
    <row r="421" ht="23.25" customHeight="1">
      <c r="A421" s="29"/>
      <c r="B421" s="29"/>
      <c r="C421" s="29"/>
      <c r="D421" s="2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60"/>
      <c r="U421" s="160"/>
      <c r="V421" s="160"/>
      <c r="W421" s="160"/>
      <c r="X421" s="160"/>
      <c r="Y421" s="160"/>
      <c r="Z421" s="29"/>
      <c r="AA421" s="29"/>
      <c r="AB421" s="29"/>
      <c r="AC421" s="29"/>
      <c r="AD421" s="29"/>
      <c r="AE421" s="29"/>
      <c r="AF421" s="29"/>
    </row>
    <row r="422" ht="23.25" customHeight="1">
      <c r="A422" s="29"/>
      <c r="B422" s="29"/>
      <c r="C422" s="29"/>
      <c r="D422" s="2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60"/>
      <c r="U422" s="160"/>
      <c r="V422" s="160"/>
      <c r="W422" s="160"/>
      <c r="X422" s="160"/>
      <c r="Y422" s="160"/>
      <c r="Z422" s="29"/>
      <c r="AA422" s="29"/>
      <c r="AB422" s="29"/>
      <c r="AC422" s="29"/>
      <c r="AD422" s="29"/>
      <c r="AE422" s="29"/>
      <c r="AF422" s="29"/>
    </row>
    <row r="423" ht="23.25" customHeight="1">
      <c r="A423" s="29"/>
      <c r="B423" s="29"/>
      <c r="C423" s="29"/>
      <c r="D423" s="2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60"/>
      <c r="U423" s="160"/>
      <c r="V423" s="160"/>
      <c r="W423" s="160"/>
      <c r="X423" s="160"/>
      <c r="Y423" s="160"/>
      <c r="Z423" s="29"/>
      <c r="AA423" s="29"/>
      <c r="AB423" s="29"/>
      <c r="AC423" s="29"/>
      <c r="AD423" s="29"/>
      <c r="AE423" s="29"/>
      <c r="AF423" s="29"/>
    </row>
    <row r="424" ht="23.25" customHeight="1">
      <c r="A424" s="29"/>
      <c r="B424" s="29"/>
      <c r="C424" s="29"/>
      <c r="D424" s="2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60"/>
      <c r="U424" s="160"/>
      <c r="V424" s="160"/>
      <c r="W424" s="160"/>
      <c r="X424" s="160"/>
      <c r="Y424" s="160"/>
      <c r="Z424" s="29"/>
      <c r="AA424" s="29"/>
      <c r="AB424" s="29"/>
      <c r="AC424" s="29"/>
      <c r="AD424" s="29"/>
      <c r="AE424" s="29"/>
      <c r="AF424" s="29"/>
    </row>
    <row r="425" ht="23.25" customHeight="1">
      <c r="A425" s="29"/>
      <c r="B425" s="29"/>
      <c r="C425" s="29"/>
      <c r="D425" s="2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60"/>
      <c r="U425" s="160"/>
      <c r="V425" s="160"/>
      <c r="W425" s="160"/>
      <c r="X425" s="160"/>
      <c r="Y425" s="160"/>
      <c r="Z425" s="29"/>
      <c r="AA425" s="29"/>
      <c r="AB425" s="29"/>
      <c r="AC425" s="29"/>
      <c r="AD425" s="29"/>
      <c r="AE425" s="29"/>
      <c r="AF425" s="29"/>
    </row>
    <row r="426" ht="23.25" customHeight="1">
      <c r="A426" s="29"/>
      <c r="B426" s="29"/>
      <c r="C426" s="29"/>
      <c r="D426" s="2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60"/>
      <c r="U426" s="160"/>
      <c r="V426" s="160"/>
      <c r="W426" s="160"/>
      <c r="X426" s="160"/>
      <c r="Y426" s="160"/>
      <c r="Z426" s="29"/>
      <c r="AA426" s="29"/>
      <c r="AB426" s="29"/>
      <c r="AC426" s="29"/>
      <c r="AD426" s="29"/>
      <c r="AE426" s="29"/>
      <c r="AF426" s="29"/>
    </row>
    <row r="427" ht="23.25" customHeight="1">
      <c r="A427" s="29"/>
      <c r="B427" s="29"/>
      <c r="C427" s="29"/>
      <c r="D427" s="2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60"/>
      <c r="U427" s="160"/>
      <c r="V427" s="160"/>
      <c r="W427" s="160"/>
      <c r="X427" s="160"/>
      <c r="Y427" s="160"/>
      <c r="Z427" s="29"/>
      <c r="AA427" s="29"/>
      <c r="AB427" s="29"/>
      <c r="AC427" s="29"/>
      <c r="AD427" s="29"/>
      <c r="AE427" s="29"/>
      <c r="AF427" s="29"/>
    </row>
    <row r="428" ht="23.25" customHeight="1">
      <c r="A428" s="29"/>
      <c r="B428" s="29"/>
      <c r="C428" s="29"/>
      <c r="D428" s="2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60"/>
      <c r="U428" s="160"/>
      <c r="V428" s="160"/>
      <c r="W428" s="160"/>
      <c r="X428" s="160"/>
      <c r="Y428" s="160"/>
      <c r="Z428" s="29"/>
      <c r="AA428" s="29"/>
      <c r="AB428" s="29"/>
      <c r="AC428" s="29"/>
      <c r="AD428" s="29"/>
      <c r="AE428" s="29"/>
      <c r="AF428" s="29"/>
    </row>
    <row r="429" ht="23.25" customHeight="1">
      <c r="A429" s="29"/>
      <c r="B429" s="29"/>
      <c r="C429" s="29"/>
      <c r="D429" s="2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60"/>
      <c r="U429" s="160"/>
      <c r="V429" s="160"/>
      <c r="W429" s="160"/>
      <c r="X429" s="160"/>
      <c r="Y429" s="160"/>
      <c r="Z429" s="29"/>
      <c r="AA429" s="29"/>
      <c r="AB429" s="29"/>
      <c r="AC429" s="29"/>
      <c r="AD429" s="29"/>
      <c r="AE429" s="29"/>
      <c r="AF429" s="29"/>
    </row>
    <row r="430" ht="23.25" customHeight="1">
      <c r="A430" s="29"/>
      <c r="B430" s="29"/>
      <c r="C430" s="29"/>
      <c r="D430" s="2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60"/>
      <c r="U430" s="160"/>
      <c r="V430" s="160"/>
      <c r="W430" s="160"/>
      <c r="X430" s="160"/>
      <c r="Y430" s="160"/>
      <c r="Z430" s="29"/>
      <c r="AA430" s="29"/>
      <c r="AB430" s="29"/>
      <c r="AC430" s="29"/>
      <c r="AD430" s="29"/>
      <c r="AE430" s="29"/>
      <c r="AF430" s="29"/>
    </row>
    <row r="431" ht="23.25" customHeight="1">
      <c r="A431" s="29"/>
      <c r="B431" s="29"/>
      <c r="C431" s="29"/>
      <c r="D431" s="2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60"/>
      <c r="U431" s="160"/>
      <c r="V431" s="160"/>
      <c r="W431" s="160"/>
      <c r="X431" s="160"/>
      <c r="Y431" s="160"/>
      <c r="Z431" s="29"/>
      <c r="AA431" s="29"/>
      <c r="AB431" s="29"/>
      <c r="AC431" s="29"/>
      <c r="AD431" s="29"/>
      <c r="AE431" s="29"/>
      <c r="AF431" s="29"/>
    </row>
    <row r="432" ht="23.25" customHeight="1">
      <c r="A432" s="29"/>
      <c r="B432" s="29"/>
      <c r="C432" s="29"/>
      <c r="D432" s="2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60"/>
      <c r="U432" s="160"/>
      <c r="V432" s="160"/>
      <c r="W432" s="160"/>
      <c r="X432" s="160"/>
      <c r="Y432" s="160"/>
      <c r="Z432" s="29"/>
      <c r="AA432" s="29"/>
      <c r="AB432" s="29"/>
      <c r="AC432" s="29"/>
      <c r="AD432" s="29"/>
      <c r="AE432" s="29"/>
      <c r="AF432" s="29"/>
    </row>
    <row r="433" ht="23.25" customHeight="1">
      <c r="A433" s="29"/>
      <c r="B433" s="29"/>
      <c r="C433" s="29"/>
      <c r="D433" s="2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60"/>
      <c r="U433" s="160"/>
      <c r="V433" s="160"/>
      <c r="W433" s="160"/>
      <c r="X433" s="160"/>
      <c r="Y433" s="160"/>
      <c r="Z433" s="29"/>
      <c r="AA433" s="29"/>
      <c r="AB433" s="29"/>
      <c r="AC433" s="29"/>
      <c r="AD433" s="29"/>
      <c r="AE433" s="29"/>
      <c r="AF433" s="29"/>
    </row>
    <row r="434" ht="23.25" customHeight="1">
      <c r="A434" s="29"/>
      <c r="B434" s="29"/>
      <c r="C434" s="29"/>
      <c r="D434" s="2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60"/>
      <c r="U434" s="160"/>
      <c r="V434" s="160"/>
      <c r="W434" s="160"/>
      <c r="X434" s="160"/>
      <c r="Y434" s="160"/>
      <c r="Z434" s="29"/>
      <c r="AA434" s="29"/>
      <c r="AB434" s="29"/>
      <c r="AC434" s="29"/>
      <c r="AD434" s="29"/>
      <c r="AE434" s="29"/>
      <c r="AF434" s="29"/>
    </row>
    <row r="435" ht="23.25" customHeight="1">
      <c r="A435" s="29"/>
      <c r="B435" s="29"/>
      <c r="C435" s="29"/>
      <c r="D435" s="2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60"/>
      <c r="U435" s="160"/>
      <c r="V435" s="160"/>
      <c r="W435" s="160"/>
      <c r="X435" s="160"/>
      <c r="Y435" s="160"/>
      <c r="Z435" s="29"/>
      <c r="AA435" s="29"/>
      <c r="AB435" s="29"/>
      <c r="AC435" s="29"/>
      <c r="AD435" s="29"/>
      <c r="AE435" s="29"/>
      <c r="AF435" s="29"/>
    </row>
    <row r="436" ht="23.25" customHeight="1">
      <c r="A436" s="29"/>
      <c r="B436" s="29"/>
      <c r="C436" s="29"/>
      <c r="D436" s="2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60"/>
      <c r="U436" s="160"/>
      <c r="V436" s="160"/>
      <c r="W436" s="160"/>
      <c r="X436" s="160"/>
      <c r="Y436" s="160"/>
      <c r="Z436" s="29"/>
      <c r="AA436" s="29"/>
      <c r="AB436" s="29"/>
      <c r="AC436" s="29"/>
      <c r="AD436" s="29"/>
      <c r="AE436" s="29"/>
      <c r="AF436" s="29"/>
    </row>
    <row r="437" ht="23.25" customHeight="1">
      <c r="A437" s="29"/>
      <c r="B437" s="29"/>
      <c r="C437" s="29"/>
      <c r="D437" s="2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60"/>
      <c r="U437" s="160"/>
      <c r="V437" s="160"/>
      <c r="W437" s="160"/>
      <c r="X437" s="160"/>
      <c r="Y437" s="160"/>
      <c r="Z437" s="29"/>
      <c r="AA437" s="29"/>
      <c r="AB437" s="29"/>
      <c r="AC437" s="29"/>
      <c r="AD437" s="29"/>
      <c r="AE437" s="29"/>
      <c r="AF437" s="29"/>
    </row>
    <row r="438" ht="23.25" customHeight="1">
      <c r="A438" s="29"/>
      <c r="B438" s="29"/>
      <c r="C438" s="29"/>
      <c r="D438" s="2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60"/>
      <c r="U438" s="160"/>
      <c r="V438" s="160"/>
      <c r="W438" s="160"/>
      <c r="X438" s="160"/>
      <c r="Y438" s="160"/>
      <c r="Z438" s="29"/>
      <c r="AA438" s="29"/>
      <c r="AB438" s="29"/>
      <c r="AC438" s="29"/>
      <c r="AD438" s="29"/>
      <c r="AE438" s="29"/>
      <c r="AF438" s="29"/>
    </row>
    <row r="439" ht="23.25" customHeight="1">
      <c r="A439" s="29"/>
      <c r="B439" s="29"/>
      <c r="C439" s="29"/>
      <c r="D439" s="2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60"/>
      <c r="U439" s="160"/>
      <c r="V439" s="160"/>
      <c r="W439" s="160"/>
      <c r="X439" s="160"/>
      <c r="Y439" s="160"/>
      <c r="Z439" s="29"/>
      <c r="AA439" s="29"/>
      <c r="AB439" s="29"/>
      <c r="AC439" s="29"/>
      <c r="AD439" s="29"/>
      <c r="AE439" s="29"/>
      <c r="AF439" s="29"/>
    </row>
    <row r="440" ht="23.25" customHeight="1">
      <c r="A440" s="29"/>
      <c r="B440" s="29"/>
      <c r="C440" s="29"/>
      <c r="D440" s="2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60"/>
      <c r="U440" s="160"/>
      <c r="V440" s="160"/>
      <c r="W440" s="160"/>
      <c r="X440" s="160"/>
      <c r="Y440" s="160"/>
      <c r="Z440" s="29"/>
      <c r="AA440" s="29"/>
      <c r="AB440" s="29"/>
      <c r="AC440" s="29"/>
      <c r="AD440" s="29"/>
      <c r="AE440" s="29"/>
      <c r="AF440" s="29"/>
    </row>
    <row r="441" ht="23.25" customHeight="1">
      <c r="A441" s="29"/>
      <c r="B441" s="29"/>
      <c r="C441" s="29"/>
      <c r="D441" s="2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60"/>
      <c r="U441" s="160"/>
      <c r="V441" s="160"/>
      <c r="W441" s="160"/>
      <c r="X441" s="160"/>
      <c r="Y441" s="160"/>
      <c r="Z441" s="29"/>
      <c r="AA441" s="29"/>
      <c r="AB441" s="29"/>
      <c r="AC441" s="29"/>
      <c r="AD441" s="29"/>
      <c r="AE441" s="29"/>
      <c r="AF441" s="29"/>
    </row>
    <row r="442" ht="23.25" customHeight="1">
      <c r="A442" s="29"/>
      <c r="B442" s="29"/>
      <c r="C442" s="29"/>
      <c r="D442" s="2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60"/>
      <c r="U442" s="160"/>
      <c r="V442" s="160"/>
      <c r="W442" s="160"/>
      <c r="X442" s="160"/>
      <c r="Y442" s="160"/>
      <c r="Z442" s="29"/>
      <c r="AA442" s="29"/>
      <c r="AB442" s="29"/>
      <c r="AC442" s="29"/>
      <c r="AD442" s="29"/>
      <c r="AE442" s="29"/>
      <c r="AF442" s="29"/>
    </row>
    <row r="443" ht="23.25" customHeight="1">
      <c r="A443" s="29"/>
      <c r="B443" s="29"/>
      <c r="C443" s="29"/>
      <c r="D443" s="2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60"/>
      <c r="U443" s="160"/>
      <c r="V443" s="160"/>
      <c r="W443" s="160"/>
      <c r="X443" s="160"/>
      <c r="Y443" s="160"/>
      <c r="Z443" s="29"/>
      <c r="AA443" s="29"/>
      <c r="AB443" s="29"/>
      <c r="AC443" s="29"/>
      <c r="AD443" s="29"/>
      <c r="AE443" s="29"/>
      <c r="AF443" s="29"/>
    </row>
    <row r="444" ht="23.25" customHeight="1">
      <c r="A444" s="29"/>
      <c r="B444" s="29"/>
      <c r="C444" s="29"/>
      <c r="D444" s="2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60"/>
      <c r="U444" s="160"/>
      <c r="V444" s="160"/>
      <c r="W444" s="160"/>
      <c r="X444" s="160"/>
      <c r="Y444" s="160"/>
      <c r="Z444" s="29"/>
      <c r="AA444" s="29"/>
      <c r="AB444" s="29"/>
      <c r="AC444" s="29"/>
      <c r="AD444" s="29"/>
      <c r="AE444" s="29"/>
      <c r="AF444" s="29"/>
    </row>
    <row r="445" ht="23.25" customHeight="1">
      <c r="A445" s="29"/>
      <c r="B445" s="29"/>
      <c r="C445" s="29"/>
      <c r="D445" s="2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60"/>
      <c r="U445" s="160"/>
      <c r="V445" s="160"/>
      <c r="W445" s="160"/>
      <c r="X445" s="160"/>
      <c r="Y445" s="160"/>
      <c r="Z445" s="29"/>
      <c r="AA445" s="29"/>
      <c r="AB445" s="29"/>
      <c r="AC445" s="29"/>
      <c r="AD445" s="29"/>
      <c r="AE445" s="29"/>
      <c r="AF445" s="29"/>
    </row>
    <row r="446" ht="23.25" customHeight="1">
      <c r="A446" s="29"/>
      <c r="B446" s="29"/>
      <c r="C446" s="29"/>
      <c r="D446" s="2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60"/>
      <c r="U446" s="160"/>
      <c r="V446" s="160"/>
      <c r="W446" s="160"/>
      <c r="X446" s="160"/>
      <c r="Y446" s="160"/>
      <c r="Z446" s="29"/>
      <c r="AA446" s="29"/>
      <c r="AB446" s="29"/>
      <c r="AC446" s="29"/>
      <c r="AD446" s="29"/>
      <c r="AE446" s="29"/>
      <c r="AF446" s="29"/>
    </row>
    <row r="447" ht="23.25" customHeight="1">
      <c r="A447" s="29"/>
      <c r="B447" s="29"/>
      <c r="C447" s="29"/>
      <c r="D447" s="2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60"/>
      <c r="U447" s="160"/>
      <c r="V447" s="160"/>
      <c r="W447" s="160"/>
      <c r="X447" s="160"/>
      <c r="Y447" s="160"/>
      <c r="Z447" s="29"/>
      <c r="AA447" s="29"/>
      <c r="AB447" s="29"/>
      <c r="AC447" s="29"/>
      <c r="AD447" s="29"/>
      <c r="AE447" s="29"/>
      <c r="AF447" s="29"/>
    </row>
    <row r="448" ht="23.25" customHeight="1">
      <c r="A448" s="29"/>
      <c r="B448" s="29"/>
      <c r="C448" s="29"/>
      <c r="D448" s="2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60"/>
      <c r="U448" s="160"/>
      <c r="V448" s="160"/>
      <c r="W448" s="160"/>
      <c r="X448" s="160"/>
      <c r="Y448" s="160"/>
      <c r="Z448" s="29"/>
      <c r="AA448" s="29"/>
      <c r="AB448" s="29"/>
      <c r="AC448" s="29"/>
      <c r="AD448" s="29"/>
      <c r="AE448" s="29"/>
      <c r="AF448" s="29"/>
    </row>
    <row r="449" ht="23.25" customHeight="1">
      <c r="A449" s="29"/>
      <c r="B449" s="29"/>
      <c r="C449" s="29"/>
      <c r="D449" s="2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60"/>
      <c r="U449" s="160"/>
      <c r="V449" s="160"/>
      <c r="W449" s="160"/>
      <c r="X449" s="160"/>
      <c r="Y449" s="160"/>
      <c r="Z449" s="29"/>
      <c r="AA449" s="29"/>
      <c r="AB449" s="29"/>
      <c r="AC449" s="29"/>
      <c r="AD449" s="29"/>
      <c r="AE449" s="29"/>
      <c r="AF449" s="29"/>
    </row>
    <row r="450" ht="23.25" customHeight="1">
      <c r="A450" s="29"/>
      <c r="B450" s="29"/>
      <c r="C450" s="29"/>
      <c r="D450" s="2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60"/>
      <c r="U450" s="160"/>
      <c r="V450" s="160"/>
      <c r="W450" s="160"/>
      <c r="X450" s="160"/>
      <c r="Y450" s="160"/>
      <c r="Z450" s="29"/>
      <c r="AA450" s="29"/>
      <c r="AB450" s="29"/>
      <c r="AC450" s="29"/>
      <c r="AD450" s="29"/>
      <c r="AE450" s="29"/>
      <c r="AF450" s="29"/>
    </row>
    <row r="451" ht="23.25" customHeight="1">
      <c r="A451" s="29"/>
      <c r="B451" s="29"/>
      <c r="C451" s="29"/>
      <c r="D451" s="2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60"/>
      <c r="U451" s="160"/>
      <c r="V451" s="160"/>
      <c r="W451" s="160"/>
      <c r="X451" s="160"/>
      <c r="Y451" s="160"/>
      <c r="Z451" s="29"/>
      <c r="AA451" s="29"/>
      <c r="AB451" s="29"/>
      <c r="AC451" s="29"/>
      <c r="AD451" s="29"/>
      <c r="AE451" s="29"/>
      <c r="AF451" s="29"/>
    </row>
    <row r="452" ht="23.25" customHeight="1">
      <c r="A452" s="29"/>
      <c r="B452" s="29"/>
      <c r="C452" s="29"/>
      <c r="D452" s="2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60"/>
      <c r="U452" s="160"/>
      <c r="V452" s="160"/>
      <c r="W452" s="160"/>
      <c r="X452" s="160"/>
      <c r="Y452" s="160"/>
      <c r="Z452" s="29"/>
      <c r="AA452" s="29"/>
      <c r="AB452" s="29"/>
      <c r="AC452" s="29"/>
      <c r="AD452" s="29"/>
      <c r="AE452" s="29"/>
      <c r="AF452" s="29"/>
    </row>
    <row r="453" ht="23.25" customHeight="1">
      <c r="A453" s="29"/>
      <c r="B453" s="29"/>
      <c r="C453" s="29"/>
      <c r="D453" s="2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60"/>
      <c r="U453" s="160"/>
      <c r="V453" s="160"/>
      <c r="W453" s="160"/>
      <c r="X453" s="160"/>
      <c r="Y453" s="160"/>
      <c r="Z453" s="29"/>
      <c r="AA453" s="29"/>
      <c r="AB453" s="29"/>
      <c r="AC453" s="29"/>
      <c r="AD453" s="29"/>
      <c r="AE453" s="29"/>
      <c r="AF453" s="29"/>
    </row>
    <row r="454" ht="23.25" customHeight="1">
      <c r="A454" s="29"/>
      <c r="B454" s="29"/>
      <c r="C454" s="29"/>
      <c r="D454" s="2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60"/>
      <c r="U454" s="160"/>
      <c r="V454" s="160"/>
      <c r="W454" s="160"/>
      <c r="X454" s="160"/>
      <c r="Y454" s="160"/>
      <c r="Z454" s="29"/>
      <c r="AA454" s="29"/>
      <c r="AB454" s="29"/>
      <c r="AC454" s="29"/>
      <c r="AD454" s="29"/>
      <c r="AE454" s="29"/>
      <c r="AF454" s="29"/>
    </row>
    <row r="455" ht="23.25" customHeight="1">
      <c r="A455" s="29"/>
      <c r="B455" s="29"/>
      <c r="C455" s="29"/>
      <c r="D455" s="2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60"/>
      <c r="U455" s="160"/>
      <c r="V455" s="160"/>
      <c r="W455" s="160"/>
      <c r="X455" s="160"/>
      <c r="Y455" s="160"/>
      <c r="Z455" s="29"/>
      <c r="AA455" s="29"/>
      <c r="AB455" s="29"/>
      <c r="AC455" s="29"/>
      <c r="AD455" s="29"/>
      <c r="AE455" s="29"/>
      <c r="AF455" s="29"/>
    </row>
    <row r="456" ht="23.25" customHeight="1">
      <c r="A456" s="29"/>
      <c r="B456" s="29"/>
      <c r="C456" s="29"/>
      <c r="D456" s="2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60"/>
      <c r="U456" s="160"/>
      <c r="V456" s="160"/>
      <c r="W456" s="160"/>
      <c r="X456" s="160"/>
      <c r="Y456" s="160"/>
      <c r="Z456" s="29"/>
      <c r="AA456" s="29"/>
      <c r="AB456" s="29"/>
      <c r="AC456" s="29"/>
      <c r="AD456" s="29"/>
      <c r="AE456" s="29"/>
      <c r="AF456" s="29"/>
    </row>
    <row r="457" ht="23.25" customHeight="1">
      <c r="A457" s="29"/>
      <c r="B457" s="29"/>
      <c r="C457" s="29"/>
      <c r="D457" s="2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60"/>
      <c r="U457" s="160"/>
      <c r="V457" s="160"/>
      <c r="W457" s="160"/>
      <c r="X457" s="160"/>
      <c r="Y457" s="160"/>
      <c r="Z457" s="29"/>
      <c r="AA457" s="29"/>
      <c r="AB457" s="29"/>
      <c r="AC457" s="29"/>
      <c r="AD457" s="29"/>
      <c r="AE457" s="29"/>
      <c r="AF457" s="29"/>
    </row>
    <row r="458" ht="23.25" customHeight="1">
      <c r="A458" s="29"/>
      <c r="B458" s="29"/>
      <c r="C458" s="29"/>
      <c r="D458" s="2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60"/>
      <c r="U458" s="160"/>
      <c r="V458" s="160"/>
      <c r="W458" s="160"/>
      <c r="X458" s="160"/>
      <c r="Y458" s="160"/>
      <c r="Z458" s="29"/>
      <c r="AA458" s="29"/>
      <c r="AB458" s="29"/>
      <c r="AC458" s="29"/>
      <c r="AD458" s="29"/>
      <c r="AE458" s="29"/>
      <c r="AF458" s="29"/>
    </row>
    <row r="459" ht="23.25" customHeight="1">
      <c r="A459" s="29"/>
      <c r="B459" s="29"/>
      <c r="C459" s="29"/>
      <c r="D459" s="2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60"/>
      <c r="U459" s="160"/>
      <c r="V459" s="160"/>
      <c r="W459" s="160"/>
      <c r="X459" s="160"/>
      <c r="Y459" s="160"/>
      <c r="Z459" s="29"/>
      <c r="AA459" s="29"/>
      <c r="AB459" s="29"/>
      <c r="AC459" s="29"/>
      <c r="AD459" s="29"/>
      <c r="AE459" s="29"/>
      <c r="AF459" s="29"/>
    </row>
    <row r="460" ht="23.25" customHeight="1">
      <c r="A460" s="29"/>
      <c r="B460" s="29"/>
      <c r="C460" s="29"/>
      <c r="D460" s="2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60"/>
      <c r="U460" s="160"/>
      <c r="V460" s="160"/>
      <c r="W460" s="160"/>
      <c r="X460" s="160"/>
      <c r="Y460" s="160"/>
      <c r="Z460" s="29"/>
      <c r="AA460" s="29"/>
      <c r="AB460" s="29"/>
      <c r="AC460" s="29"/>
      <c r="AD460" s="29"/>
      <c r="AE460" s="29"/>
      <c r="AF460" s="29"/>
    </row>
    <row r="461" ht="23.25" customHeight="1">
      <c r="A461" s="29"/>
      <c r="B461" s="29"/>
      <c r="C461" s="29"/>
      <c r="D461" s="2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60"/>
      <c r="U461" s="160"/>
      <c r="V461" s="160"/>
      <c r="W461" s="160"/>
      <c r="X461" s="160"/>
      <c r="Y461" s="160"/>
      <c r="Z461" s="29"/>
      <c r="AA461" s="29"/>
      <c r="AB461" s="29"/>
      <c r="AC461" s="29"/>
      <c r="AD461" s="29"/>
      <c r="AE461" s="29"/>
      <c r="AF461" s="29"/>
    </row>
    <row r="462" ht="23.25" customHeight="1">
      <c r="A462" s="29"/>
      <c r="B462" s="29"/>
      <c r="C462" s="29"/>
      <c r="D462" s="2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60"/>
      <c r="U462" s="160"/>
      <c r="V462" s="160"/>
      <c r="W462" s="160"/>
      <c r="X462" s="160"/>
      <c r="Y462" s="160"/>
      <c r="Z462" s="29"/>
      <c r="AA462" s="29"/>
      <c r="AB462" s="29"/>
      <c r="AC462" s="29"/>
      <c r="AD462" s="29"/>
      <c r="AE462" s="29"/>
      <c r="AF462" s="29"/>
    </row>
    <row r="463" ht="23.25" customHeight="1">
      <c r="A463" s="29"/>
      <c r="B463" s="29"/>
      <c r="C463" s="29"/>
      <c r="D463" s="2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60"/>
      <c r="U463" s="160"/>
      <c r="V463" s="160"/>
      <c r="W463" s="160"/>
      <c r="X463" s="160"/>
      <c r="Y463" s="160"/>
      <c r="Z463" s="29"/>
      <c r="AA463" s="29"/>
      <c r="AB463" s="29"/>
      <c r="AC463" s="29"/>
      <c r="AD463" s="29"/>
      <c r="AE463" s="29"/>
      <c r="AF463" s="29"/>
    </row>
    <row r="464" ht="23.25" customHeight="1">
      <c r="A464" s="29"/>
      <c r="B464" s="29"/>
      <c r="C464" s="29"/>
      <c r="D464" s="2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60"/>
      <c r="U464" s="160"/>
      <c r="V464" s="160"/>
      <c r="W464" s="160"/>
      <c r="X464" s="160"/>
      <c r="Y464" s="160"/>
      <c r="Z464" s="29"/>
      <c r="AA464" s="29"/>
      <c r="AB464" s="29"/>
      <c r="AC464" s="29"/>
      <c r="AD464" s="29"/>
      <c r="AE464" s="29"/>
      <c r="AF464" s="29"/>
    </row>
    <row r="465" ht="23.25" customHeight="1">
      <c r="A465" s="29"/>
      <c r="B465" s="29"/>
      <c r="C465" s="29"/>
      <c r="D465" s="2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60"/>
      <c r="U465" s="160"/>
      <c r="V465" s="160"/>
      <c r="W465" s="160"/>
      <c r="X465" s="160"/>
      <c r="Y465" s="160"/>
      <c r="Z465" s="29"/>
      <c r="AA465" s="29"/>
      <c r="AB465" s="29"/>
      <c r="AC465" s="29"/>
      <c r="AD465" s="29"/>
      <c r="AE465" s="29"/>
      <c r="AF465" s="29"/>
    </row>
    <row r="466" ht="23.25" customHeight="1">
      <c r="A466" s="29"/>
      <c r="B466" s="29"/>
      <c r="C466" s="29"/>
      <c r="D466" s="2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60"/>
      <c r="U466" s="160"/>
      <c r="V466" s="160"/>
      <c r="W466" s="160"/>
      <c r="X466" s="160"/>
      <c r="Y466" s="160"/>
      <c r="Z466" s="29"/>
      <c r="AA466" s="29"/>
      <c r="AB466" s="29"/>
      <c r="AC466" s="29"/>
      <c r="AD466" s="29"/>
      <c r="AE466" s="29"/>
      <c r="AF466" s="29"/>
    </row>
    <row r="467" ht="23.25" customHeight="1">
      <c r="A467" s="29"/>
      <c r="B467" s="29"/>
      <c r="C467" s="29"/>
      <c r="D467" s="2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60"/>
      <c r="U467" s="160"/>
      <c r="V467" s="160"/>
      <c r="W467" s="160"/>
      <c r="X467" s="160"/>
      <c r="Y467" s="160"/>
      <c r="Z467" s="29"/>
      <c r="AA467" s="29"/>
      <c r="AB467" s="29"/>
      <c r="AC467" s="29"/>
      <c r="AD467" s="29"/>
      <c r="AE467" s="29"/>
      <c r="AF467" s="29"/>
    </row>
    <row r="468" ht="23.25" customHeight="1">
      <c r="A468" s="29"/>
      <c r="B468" s="29"/>
      <c r="C468" s="29"/>
      <c r="D468" s="2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60"/>
      <c r="U468" s="160"/>
      <c r="V468" s="160"/>
      <c r="W468" s="160"/>
      <c r="X468" s="160"/>
      <c r="Y468" s="160"/>
      <c r="Z468" s="29"/>
      <c r="AA468" s="29"/>
      <c r="AB468" s="29"/>
      <c r="AC468" s="29"/>
      <c r="AD468" s="29"/>
      <c r="AE468" s="29"/>
      <c r="AF468" s="29"/>
    </row>
    <row r="469" ht="23.25" customHeight="1">
      <c r="A469" s="29"/>
      <c r="B469" s="29"/>
      <c r="C469" s="29"/>
      <c r="D469" s="2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60"/>
      <c r="U469" s="160"/>
      <c r="V469" s="160"/>
      <c r="W469" s="160"/>
      <c r="X469" s="160"/>
      <c r="Y469" s="160"/>
      <c r="Z469" s="29"/>
      <c r="AA469" s="29"/>
      <c r="AB469" s="29"/>
      <c r="AC469" s="29"/>
      <c r="AD469" s="29"/>
      <c r="AE469" s="29"/>
      <c r="AF469" s="29"/>
    </row>
    <row r="470" ht="23.25" customHeight="1">
      <c r="A470" s="29"/>
      <c r="B470" s="29"/>
      <c r="C470" s="29"/>
      <c r="D470" s="2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60"/>
      <c r="U470" s="160"/>
      <c r="V470" s="160"/>
      <c r="W470" s="160"/>
      <c r="X470" s="160"/>
      <c r="Y470" s="160"/>
      <c r="Z470" s="29"/>
      <c r="AA470" s="29"/>
      <c r="AB470" s="29"/>
      <c r="AC470" s="29"/>
      <c r="AD470" s="29"/>
      <c r="AE470" s="29"/>
      <c r="AF470" s="29"/>
    </row>
    <row r="471" ht="23.25" customHeight="1">
      <c r="A471" s="29"/>
      <c r="B471" s="29"/>
      <c r="C471" s="29"/>
      <c r="D471" s="2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60"/>
      <c r="U471" s="160"/>
      <c r="V471" s="160"/>
      <c r="W471" s="160"/>
      <c r="X471" s="160"/>
      <c r="Y471" s="160"/>
      <c r="Z471" s="29"/>
      <c r="AA471" s="29"/>
      <c r="AB471" s="29"/>
      <c r="AC471" s="29"/>
      <c r="AD471" s="29"/>
      <c r="AE471" s="29"/>
      <c r="AF471" s="29"/>
    </row>
    <row r="472" ht="23.25" customHeight="1">
      <c r="A472" s="29"/>
      <c r="B472" s="29"/>
      <c r="C472" s="29"/>
      <c r="D472" s="2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60"/>
      <c r="U472" s="160"/>
      <c r="V472" s="160"/>
      <c r="W472" s="160"/>
      <c r="X472" s="160"/>
      <c r="Y472" s="160"/>
      <c r="Z472" s="29"/>
      <c r="AA472" s="29"/>
      <c r="AB472" s="29"/>
      <c r="AC472" s="29"/>
      <c r="AD472" s="29"/>
      <c r="AE472" s="29"/>
      <c r="AF472" s="29"/>
    </row>
    <row r="473" ht="23.25" customHeight="1">
      <c r="A473" s="29"/>
      <c r="B473" s="29"/>
      <c r="C473" s="29"/>
      <c r="D473" s="2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60"/>
      <c r="U473" s="160"/>
      <c r="V473" s="160"/>
      <c r="W473" s="160"/>
      <c r="X473" s="160"/>
      <c r="Y473" s="160"/>
      <c r="Z473" s="29"/>
      <c r="AA473" s="29"/>
      <c r="AB473" s="29"/>
      <c r="AC473" s="29"/>
      <c r="AD473" s="29"/>
      <c r="AE473" s="29"/>
      <c r="AF473" s="29"/>
    </row>
    <row r="474" ht="23.25" customHeight="1">
      <c r="A474" s="29"/>
      <c r="B474" s="29"/>
      <c r="C474" s="29"/>
      <c r="D474" s="2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60"/>
      <c r="U474" s="160"/>
      <c r="V474" s="160"/>
      <c r="W474" s="160"/>
      <c r="X474" s="160"/>
      <c r="Y474" s="160"/>
      <c r="Z474" s="29"/>
      <c r="AA474" s="29"/>
      <c r="AB474" s="29"/>
      <c r="AC474" s="29"/>
      <c r="AD474" s="29"/>
      <c r="AE474" s="29"/>
      <c r="AF474" s="29"/>
    </row>
    <row r="475" ht="23.25" customHeight="1">
      <c r="A475" s="29"/>
      <c r="B475" s="29"/>
      <c r="C475" s="29"/>
      <c r="D475" s="2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60"/>
      <c r="U475" s="160"/>
      <c r="V475" s="160"/>
      <c r="W475" s="160"/>
      <c r="X475" s="160"/>
      <c r="Y475" s="160"/>
      <c r="Z475" s="29"/>
      <c r="AA475" s="29"/>
      <c r="AB475" s="29"/>
      <c r="AC475" s="29"/>
      <c r="AD475" s="29"/>
      <c r="AE475" s="29"/>
      <c r="AF475" s="29"/>
    </row>
    <row r="476" ht="23.25" customHeight="1">
      <c r="A476" s="29"/>
      <c r="B476" s="29"/>
      <c r="C476" s="29"/>
      <c r="D476" s="2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60"/>
      <c r="U476" s="160"/>
      <c r="V476" s="160"/>
      <c r="W476" s="160"/>
      <c r="X476" s="160"/>
      <c r="Y476" s="160"/>
      <c r="Z476" s="29"/>
      <c r="AA476" s="29"/>
      <c r="AB476" s="29"/>
      <c r="AC476" s="29"/>
      <c r="AD476" s="29"/>
      <c r="AE476" s="29"/>
      <c r="AF476" s="29"/>
    </row>
    <row r="477" ht="23.25" customHeight="1">
      <c r="A477" s="29"/>
      <c r="B477" s="29"/>
      <c r="C477" s="29"/>
      <c r="D477" s="2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60"/>
      <c r="U477" s="160"/>
      <c r="V477" s="160"/>
      <c r="W477" s="160"/>
      <c r="X477" s="160"/>
      <c r="Y477" s="160"/>
      <c r="Z477" s="29"/>
      <c r="AA477" s="29"/>
      <c r="AB477" s="29"/>
      <c r="AC477" s="29"/>
      <c r="AD477" s="29"/>
      <c r="AE477" s="29"/>
      <c r="AF477" s="29"/>
    </row>
    <row r="478" ht="23.25" customHeight="1">
      <c r="A478" s="29"/>
      <c r="B478" s="29"/>
      <c r="C478" s="29"/>
      <c r="D478" s="2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60"/>
      <c r="U478" s="160"/>
      <c r="V478" s="160"/>
      <c r="W478" s="160"/>
      <c r="X478" s="160"/>
      <c r="Y478" s="160"/>
      <c r="Z478" s="29"/>
      <c r="AA478" s="29"/>
      <c r="AB478" s="29"/>
      <c r="AC478" s="29"/>
      <c r="AD478" s="29"/>
      <c r="AE478" s="29"/>
      <c r="AF478" s="29"/>
    </row>
    <row r="479" ht="23.25" customHeight="1">
      <c r="A479" s="29"/>
      <c r="B479" s="29"/>
      <c r="C479" s="29"/>
      <c r="D479" s="2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60"/>
      <c r="U479" s="160"/>
      <c r="V479" s="160"/>
      <c r="W479" s="160"/>
      <c r="X479" s="160"/>
      <c r="Y479" s="160"/>
      <c r="Z479" s="29"/>
      <c r="AA479" s="29"/>
      <c r="AB479" s="29"/>
      <c r="AC479" s="29"/>
      <c r="AD479" s="29"/>
      <c r="AE479" s="29"/>
      <c r="AF479" s="29"/>
    </row>
    <row r="480" ht="23.25" customHeight="1">
      <c r="A480" s="29"/>
      <c r="B480" s="29"/>
      <c r="C480" s="29"/>
      <c r="D480" s="2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60"/>
      <c r="U480" s="160"/>
      <c r="V480" s="160"/>
      <c r="W480" s="160"/>
      <c r="X480" s="160"/>
      <c r="Y480" s="160"/>
      <c r="Z480" s="29"/>
      <c r="AA480" s="29"/>
      <c r="AB480" s="29"/>
      <c r="AC480" s="29"/>
      <c r="AD480" s="29"/>
      <c r="AE480" s="29"/>
      <c r="AF480" s="29"/>
    </row>
    <row r="481" ht="23.25" customHeight="1">
      <c r="A481" s="29"/>
      <c r="B481" s="29"/>
      <c r="C481" s="29"/>
      <c r="D481" s="2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60"/>
      <c r="U481" s="160"/>
      <c r="V481" s="160"/>
      <c r="W481" s="160"/>
      <c r="X481" s="160"/>
      <c r="Y481" s="160"/>
      <c r="Z481" s="29"/>
      <c r="AA481" s="29"/>
      <c r="AB481" s="29"/>
      <c r="AC481" s="29"/>
      <c r="AD481" s="29"/>
      <c r="AE481" s="29"/>
      <c r="AF481" s="29"/>
    </row>
    <row r="482" ht="23.25" customHeight="1">
      <c r="A482" s="29"/>
      <c r="B482" s="29"/>
      <c r="C482" s="29"/>
      <c r="D482" s="2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60"/>
      <c r="U482" s="160"/>
      <c r="V482" s="160"/>
      <c r="W482" s="160"/>
      <c r="X482" s="160"/>
      <c r="Y482" s="160"/>
      <c r="Z482" s="29"/>
      <c r="AA482" s="29"/>
      <c r="AB482" s="29"/>
      <c r="AC482" s="29"/>
      <c r="AD482" s="29"/>
      <c r="AE482" s="29"/>
      <c r="AF482" s="29"/>
    </row>
    <row r="483" ht="23.25" customHeight="1">
      <c r="A483" s="29"/>
      <c r="B483" s="29"/>
      <c r="C483" s="29"/>
      <c r="D483" s="2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60"/>
      <c r="U483" s="160"/>
      <c r="V483" s="160"/>
      <c r="W483" s="160"/>
      <c r="X483" s="160"/>
      <c r="Y483" s="160"/>
      <c r="Z483" s="29"/>
      <c r="AA483" s="29"/>
      <c r="AB483" s="29"/>
      <c r="AC483" s="29"/>
      <c r="AD483" s="29"/>
      <c r="AE483" s="29"/>
      <c r="AF483" s="29"/>
    </row>
    <row r="484" ht="23.25" customHeight="1">
      <c r="A484" s="29"/>
      <c r="B484" s="29"/>
      <c r="C484" s="29"/>
      <c r="D484" s="2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60"/>
      <c r="U484" s="160"/>
      <c r="V484" s="160"/>
      <c r="W484" s="160"/>
      <c r="X484" s="160"/>
      <c r="Y484" s="160"/>
      <c r="Z484" s="29"/>
      <c r="AA484" s="29"/>
      <c r="AB484" s="29"/>
      <c r="AC484" s="29"/>
      <c r="AD484" s="29"/>
      <c r="AE484" s="29"/>
      <c r="AF484" s="29"/>
    </row>
    <row r="485" ht="23.25" customHeight="1">
      <c r="A485" s="29"/>
      <c r="B485" s="29"/>
      <c r="C485" s="29"/>
      <c r="D485" s="2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60"/>
      <c r="U485" s="160"/>
      <c r="V485" s="160"/>
      <c r="W485" s="160"/>
      <c r="X485" s="160"/>
      <c r="Y485" s="160"/>
      <c r="Z485" s="29"/>
      <c r="AA485" s="29"/>
      <c r="AB485" s="29"/>
      <c r="AC485" s="29"/>
      <c r="AD485" s="29"/>
      <c r="AE485" s="29"/>
      <c r="AF485" s="29"/>
    </row>
    <row r="486" ht="23.25" customHeight="1">
      <c r="A486" s="29"/>
      <c r="B486" s="29"/>
      <c r="C486" s="29"/>
      <c r="D486" s="2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60"/>
      <c r="U486" s="160"/>
      <c r="V486" s="160"/>
      <c r="W486" s="160"/>
      <c r="X486" s="160"/>
      <c r="Y486" s="160"/>
      <c r="Z486" s="29"/>
      <c r="AA486" s="29"/>
      <c r="AB486" s="29"/>
      <c r="AC486" s="29"/>
      <c r="AD486" s="29"/>
      <c r="AE486" s="29"/>
      <c r="AF486" s="29"/>
    </row>
    <row r="487" ht="23.25" customHeight="1">
      <c r="A487" s="29"/>
      <c r="B487" s="29"/>
      <c r="C487" s="29"/>
      <c r="D487" s="2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60"/>
      <c r="U487" s="160"/>
      <c r="V487" s="160"/>
      <c r="W487" s="160"/>
      <c r="X487" s="160"/>
      <c r="Y487" s="160"/>
      <c r="Z487" s="29"/>
      <c r="AA487" s="29"/>
      <c r="AB487" s="29"/>
      <c r="AC487" s="29"/>
      <c r="AD487" s="29"/>
      <c r="AE487" s="29"/>
      <c r="AF487" s="29"/>
    </row>
    <row r="488" ht="23.25" customHeight="1">
      <c r="A488" s="29"/>
      <c r="B488" s="29"/>
      <c r="C488" s="29"/>
      <c r="D488" s="2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60"/>
      <c r="U488" s="160"/>
      <c r="V488" s="160"/>
      <c r="W488" s="160"/>
      <c r="X488" s="160"/>
      <c r="Y488" s="160"/>
      <c r="Z488" s="29"/>
      <c r="AA488" s="29"/>
      <c r="AB488" s="29"/>
      <c r="AC488" s="29"/>
      <c r="AD488" s="29"/>
      <c r="AE488" s="29"/>
      <c r="AF488" s="29"/>
    </row>
    <row r="489" ht="23.25" customHeight="1">
      <c r="A489" s="29"/>
      <c r="B489" s="29"/>
      <c r="C489" s="29"/>
      <c r="D489" s="2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60"/>
      <c r="U489" s="160"/>
      <c r="V489" s="160"/>
      <c r="W489" s="160"/>
      <c r="X489" s="160"/>
      <c r="Y489" s="160"/>
      <c r="Z489" s="29"/>
      <c r="AA489" s="29"/>
      <c r="AB489" s="29"/>
      <c r="AC489" s="29"/>
      <c r="AD489" s="29"/>
      <c r="AE489" s="29"/>
      <c r="AF489" s="29"/>
    </row>
    <row r="490" ht="23.25" customHeight="1">
      <c r="A490" s="29"/>
      <c r="B490" s="29"/>
      <c r="C490" s="29"/>
      <c r="D490" s="2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60"/>
      <c r="U490" s="160"/>
      <c r="V490" s="160"/>
      <c r="W490" s="160"/>
      <c r="X490" s="160"/>
      <c r="Y490" s="160"/>
      <c r="Z490" s="29"/>
      <c r="AA490" s="29"/>
      <c r="AB490" s="29"/>
      <c r="AC490" s="29"/>
      <c r="AD490" s="29"/>
      <c r="AE490" s="29"/>
      <c r="AF490" s="29"/>
    </row>
    <row r="491" ht="23.25" customHeight="1">
      <c r="A491" s="29"/>
      <c r="B491" s="29"/>
      <c r="C491" s="29"/>
      <c r="D491" s="2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60"/>
      <c r="U491" s="160"/>
      <c r="V491" s="160"/>
      <c r="W491" s="160"/>
      <c r="X491" s="160"/>
      <c r="Y491" s="160"/>
      <c r="Z491" s="29"/>
      <c r="AA491" s="29"/>
      <c r="AB491" s="29"/>
      <c r="AC491" s="29"/>
      <c r="AD491" s="29"/>
      <c r="AE491" s="29"/>
      <c r="AF491" s="29"/>
    </row>
    <row r="492" ht="23.25" customHeight="1">
      <c r="A492" s="29"/>
      <c r="B492" s="29"/>
      <c r="C492" s="29"/>
      <c r="D492" s="2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60"/>
      <c r="U492" s="160"/>
      <c r="V492" s="160"/>
      <c r="W492" s="160"/>
      <c r="X492" s="160"/>
      <c r="Y492" s="160"/>
      <c r="Z492" s="29"/>
      <c r="AA492" s="29"/>
      <c r="AB492" s="29"/>
      <c r="AC492" s="29"/>
      <c r="AD492" s="29"/>
      <c r="AE492" s="29"/>
      <c r="AF492" s="29"/>
    </row>
    <row r="493" ht="23.25" customHeight="1">
      <c r="A493" s="29"/>
      <c r="B493" s="29"/>
      <c r="C493" s="29"/>
      <c r="D493" s="2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60"/>
      <c r="U493" s="160"/>
      <c r="V493" s="160"/>
      <c r="W493" s="160"/>
      <c r="X493" s="160"/>
      <c r="Y493" s="160"/>
      <c r="Z493" s="29"/>
      <c r="AA493" s="29"/>
      <c r="AB493" s="29"/>
      <c r="AC493" s="29"/>
      <c r="AD493" s="29"/>
      <c r="AE493" s="29"/>
      <c r="AF493" s="29"/>
    </row>
    <row r="494" ht="23.25" customHeight="1">
      <c r="A494" s="29"/>
      <c r="B494" s="29"/>
      <c r="C494" s="29"/>
      <c r="D494" s="2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60"/>
      <c r="U494" s="160"/>
      <c r="V494" s="160"/>
      <c r="W494" s="160"/>
      <c r="X494" s="160"/>
      <c r="Y494" s="160"/>
      <c r="Z494" s="29"/>
      <c r="AA494" s="29"/>
      <c r="AB494" s="29"/>
      <c r="AC494" s="29"/>
      <c r="AD494" s="29"/>
      <c r="AE494" s="29"/>
      <c r="AF494" s="29"/>
    </row>
    <row r="495" ht="23.25" customHeight="1">
      <c r="A495" s="29"/>
      <c r="B495" s="29"/>
      <c r="C495" s="29"/>
      <c r="D495" s="2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60"/>
      <c r="U495" s="160"/>
      <c r="V495" s="160"/>
      <c r="W495" s="160"/>
      <c r="X495" s="160"/>
      <c r="Y495" s="160"/>
      <c r="Z495" s="29"/>
      <c r="AA495" s="29"/>
      <c r="AB495" s="29"/>
      <c r="AC495" s="29"/>
      <c r="AD495" s="29"/>
      <c r="AE495" s="29"/>
      <c r="AF495" s="29"/>
    </row>
    <row r="496" ht="23.25" customHeight="1">
      <c r="A496" s="29"/>
      <c r="B496" s="29"/>
      <c r="C496" s="29"/>
      <c r="D496" s="2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60"/>
      <c r="U496" s="160"/>
      <c r="V496" s="160"/>
      <c r="W496" s="160"/>
      <c r="X496" s="160"/>
      <c r="Y496" s="160"/>
      <c r="Z496" s="29"/>
      <c r="AA496" s="29"/>
      <c r="AB496" s="29"/>
      <c r="AC496" s="29"/>
      <c r="AD496" s="29"/>
      <c r="AE496" s="29"/>
      <c r="AF496" s="29"/>
    </row>
    <row r="497" ht="23.25" customHeight="1">
      <c r="A497" s="29"/>
      <c r="B497" s="29"/>
      <c r="C497" s="29"/>
      <c r="D497" s="2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60"/>
      <c r="U497" s="160"/>
      <c r="V497" s="160"/>
      <c r="W497" s="160"/>
      <c r="X497" s="160"/>
      <c r="Y497" s="160"/>
      <c r="Z497" s="29"/>
      <c r="AA497" s="29"/>
      <c r="AB497" s="29"/>
      <c r="AC497" s="29"/>
      <c r="AD497" s="29"/>
      <c r="AE497" s="29"/>
      <c r="AF497" s="29"/>
    </row>
    <row r="498" ht="23.25" customHeight="1">
      <c r="A498" s="29"/>
      <c r="B498" s="29"/>
      <c r="C498" s="29"/>
      <c r="D498" s="2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60"/>
      <c r="U498" s="160"/>
      <c r="V498" s="160"/>
      <c r="W498" s="160"/>
      <c r="X498" s="160"/>
      <c r="Y498" s="160"/>
      <c r="Z498" s="29"/>
      <c r="AA498" s="29"/>
      <c r="AB498" s="29"/>
      <c r="AC498" s="29"/>
      <c r="AD498" s="29"/>
      <c r="AE498" s="29"/>
      <c r="AF498" s="29"/>
    </row>
    <row r="499" ht="23.25" customHeight="1">
      <c r="A499" s="29"/>
      <c r="B499" s="29"/>
      <c r="C499" s="29"/>
      <c r="D499" s="2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60"/>
      <c r="U499" s="160"/>
      <c r="V499" s="160"/>
      <c r="W499" s="160"/>
      <c r="X499" s="160"/>
      <c r="Y499" s="160"/>
      <c r="Z499" s="29"/>
      <c r="AA499" s="29"/>
      <c r="AB499" s="29"/>
      <c r="AC499" s="29"/>
      <c r="AD499" s="29"/>
      <c r="AE499" s="29"/>
      <c r="AF499" s="29"/>
    </row>
    <row r="500" ht="23.25" customHeight="1">
      <c r="A500" s="29"/>
      <c r="B500" s="29"/>
      <c r="C500" s="29"/>
      <c r="D500" s="2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60"/>
      <c r="U500" s="160"/>
      <c r="V500" s="160"/>
      <c r="W500" s="160"/>
      <c r="X500" s="160"/>
      <c r="Y500" s="160"/>
      <c r="Z500" s="29"/>
      <c r="AA500" s="29"/>
      <c r="AB500" s="29"/>
      <c r="AC500" s="29"/>
      <c r="AD500" s="29"/>
      <c r="AE500" s="29"/>
      <c r="AF500" s="29"/>
    </row>
    <row r="501" ht="23.25" customHeight="1">
      <c r="A501" s="29"/>
      <c r="B501" s="29"/>
      <c r="C501" s="29"/>
      <c r="D501" s="2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60"/>
      <c r="U501" s="160"/>
      <c r="V501" s="160"/>
      <c r="W501" s="160"/>
      <c r="X501" s="160"/>
      <c r="Y501" s="160"/>
      <c r="Z501" s="29"/>
      <c r="AA501" s="29"/>
      <c r="AB501" s="29"/>
      <c r="AC501" s="29"/>
      <c r="AD501" s="29"/>
      <c r="AE501" s="29"/>
      <c r="AF501" s="29"/>
    </row>
    <row r="502" ht="23.25" customHeight="1">
      <c r="A502" s="29"/>
      <c r="B502" s="29"/>
      <c r="C502" s="29"/>
      <c r="D502" s="2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60"/>
      <c r="U502" s="160"/>
      <c r="V502" s="160"/>
      <c r="W502" s="160"/>
      <c r="X502" s="160"/>
      <c r="Y502" s="160"/>
      <c r="Z502" s="29"/>
      <c r="AA502" s="29"/>
      <c r="AB502" s="29"/>
      <c r="AC502" s="29"/>
      <c r="AD502" s="29"/>
      <c r="AE502" s="29"/>
      <c r="AF502" s="29"/>
    </row>
    <row r="503" ht="23.25" customHeight="1">
      <c r="A503" s="29"/>
      <c r="B503" s="29"/>
      <c r="C503" s="29"/>
      <c r="D503" s="2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60"/>
      <c r="U503" s="160"/>
      <c r="V503" s="160"/>
      <c r="W503" s="160"/>
      <c r="X503" s="160"/>
      <c r="Y503" s="160"/>
      <c r="Z503" s="29"/>
      <c r="AA503" s="29"/>
      <c r="AB503" s="29"/>
      <c r="AC503" s="29"/>
      <c r="AD503" s="29"/>
      <c r="AE503" s="29"/>
      <c r="AF503" s="29"/>
    </row>
    <row r="504" ht="23.25" customHeight="1">
      <c r="A504" s="29"/>
      <c r="B504" s="29"/>
      <c r="C504" s="29"/>
      <c r="D504" s="2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60"/>
      <c r="U504" s="160"/>
      <c r="V504" s="160"/>
      <c r="W504" s="160"/>
      <c r="X504" s="160"/>
      <c r="Y504" s="160"/>
      <c r="Z504" s="29"/>
      <c r="AA504" s="29"/>
      <c r="AB504" s="29"/>
      <c r="AC504" s="29"/>
      <c r="AD504" s="29"/>
      <c r="AE504" s="29"/>
      <c r="AF504" s="29"/>
    </row>
    <row r="505" ht="23.25" customHeight="1">
      <c r="A505" s="29"/>
      <c r="B505" s="29"/>
      <c r="C505" s="29"/>
      <c r="D505" s="2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60"/>
      <c r="U505" s="160"/>
      <c r="V505" s="160"/>
      <c r="W505" s="160"/>
      <c r="X505" s="160"/>
      <c r="Y505" s="160"/>
      <c r="Z505" s="29"/>
      <c r="AA505" s="29"/>
      <c r="AB505" s="29"/>
      <c r="AC505" s="29"/>
      <c r="AD505" s="29"/>
      <c r="AE505" s="29"/>
      <c r="AF505" s="29"/>
    </row>
    <row r="506" ht="23.25" customHeight="1">
      <c r="A506" s="29"/>
      <c r="B506" s="29"/>
      <c r="C506" s="29"/>
      <c r="D506" s="2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60"/>
      <c r="U506" s="160"/>
      <c r="V506" s="160"/>
      <c r="W506" s="160"/>
      <c r="X506" s="160"/>
      <c r="Y506" s="160"/>
      <c r="Z506" s="29"/>
      <c r="AA506" s="29"/>
      <c r="AB506" s="29"/>
      <c r="AC506" s="29"/>
      <c r="AD506" s="29"/>
      <c r="AE506" s="29"/>
      <c r="AF506" s="29"/>
    </row>
    <row r="507" ht="23.25" customHeight="1">
      <c r="A507" s="29"/>
      <c r="B507" s="29"/>
      <c r="C507" s="29"/>
      <c r="D507" s="2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60"/>
      <c r="U507" s="160"/>
      <c r="V507" s="160"/>
      <c r="W507" s="160"/>
      <c r="X507" s="160"/>
      <c r="Y507" s="160"/>
      <c r="Z507" s="29"/>
      <c r="AA507" s="29"/>
      <c r="AB507" s="29"/>
      <c r="AC507" s="29"/>
      <c r="AD507" s="29"/>
      <c r="AE507" s="29"/>
      <c r="AF507" s="29"/>
    </row>
    <row r="508" ht="23.25" customHeight="1">
      <c r="A508" s="29"/>
      <c r="B508" s="29"/>
      <c r="C508" s="29"/>
      <c r="D508" s="2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60"/>
      <c r="U508" s="160"/>
      <c r="V508" s="160"/>
      <c r="W508" s="160"/>
      <c r="X508" s="160"/>
      <c r="Y508" s="160"/>
      <c r="Z508" s="29"/>
      <c r="AA508" s="29"/>
      <c r="AB508" s="29"/>
      <c r="AC508" s="29"/>
      <c r="AD508" s="29"/>
      <c r="AE508" s="29"/>
      <c r="AF508" s="29"/>
    </row>
    <row r="509" ht="23.25" customHeight="1">
      <c r="A509" s="29"/>
      <c r="B509" s="29"/>
      <c r="C509" s="29"/>
      <c r="D509" s="2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60"/>
      <c r="U509" s="160"/>
      <c r="V509" s="160"/>
      <c r="W509" s="160"/>
      <c r="X509" s="160"/>
      <c r="Y509" s="160"/>
      <c r="Z509" s="29"/>
      <c r="AA509" s="29"/>
      <c r="AB509" s="29"/>
      <c r="AC509" s="29"/>
      <c r="AD509" s="29"/>
      <c r="AE509" s="29"/>
      <c r="AF509" s="29"/>
    </row>
    <row r="510" ht="23.25" customHeight="1">
      <c r="A510" s="29"/>
      <c r="B510" s="29"/>
      <c r="C510" s="29"/>
      <c r="D510" s="2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60"/>
      <c r="U510" s="160"/>
      <c r="V510" s="160"/>
      <c r="W510" s="160"/>
      <c r="X510" s="160"/>
      <c r="Y510" s="160"/>
      <c r="Z510" s="29"/>
      <c r="AA510" s="29"/>
      <c r="AB510" s="29"/>
      <c r="AC510" s="29"/>
      <c r="AD510" s="29"/>
      <c r="AE510" s="29"/>
      <c r="AF510" s="29"/>
    </row>
    <row r="511" ht="23.25" customHeight="1">
      <c r="A511" s="29"/>
      <c r="B511" s="29"/>
      <c r="C511" s="29"/>
      <c r="D511" s="2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60"/>
      <c r="U511" s="160"/>
      <c r="V511" s="160"/>
      <c r="W511" s="160"/>
      <c r="X511" s="160"/>
      <c r="Y511" s="160"/>
      <c r="Z511" s="29"/>
      <c r="AA511" s="29"/>
      <c r="AB511" s="29"/>
      <c r="AC511" s="29"/>
      <c r="AD511" s="29"/>
      <c r="AE511" s="29"/>
      <c r="AF511" s="29"/>
    </row>
    <row r="512" ht="23.25" customHeight="1">
      <c r="A512" s="29"/>
      <c r="B512" s="29"/>
      <c r="C512" s="29"/>
      <c r="D512" s="2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60"/>
      <c r="U512" s="160"/>
      <c r="V512" s="160"/>
      <c r="W512" s="160"/>
      <c r="X512" s="160"/>
      <c r="Y512" s="160"/>
      <c r="Z512" s="29"/>
      <c r="AA512" s="29"/>
      <c r="AB512" s="29"/>
      <c r="AC512" s="29"/>
      <c r="AD512" s="29"/>
      <c r="AE512" s="29"/>
      <c r="AF512" s="29"/>
    </row>
    <row r="513" ht="23.25" customHeight="1">
      <c r="A513" s="29"/>
      <c r="B513" s="29"/>
      <c r="C513" s="29"/>
      <c r="D513" s="2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60"/>
      <c r="U513" s="160"/>
      <c r="V513" s="160"/>
      <c r="W513" s="160"/>
      <c r="X513" s="160"/>
      <c r="Y513" s="160"/>
      <c r="Z513" s="29"/>
      <c r="AA513" s="29"/>
      <c r="AB513" s="29"/>
      <c r="AC513" s="29"/>
      <c r="AD513" s="29"/>
      <c r="AE513" s="29"/>
      <c r="AF513" s="29"/>
    </row>
    <row r="514" ht="23.25" customHeight="1">
      <c r="A514" s="29"/>
      <c r="B514" s="29"/>
      <c r="C514" s="29"/>
      <c r="D514" s="2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60"/>
      <c r="U514" s="160"/>
      <c r="V514" s="160"/>
      <c r="W514" s="160"/>
      <c r="X514" s="160"/>
      <c r="Y514" s="160"/>
      <c r="Z514" s="29"/>
      <c r="AA514" s="29"/>
      <c r="AB514" s="29"/>
      <c r="AC514" s="29"/>
      <c r="AD514" s="29"/>
      <c r="AE514" s="29"/>
      <c r="AF514" s="29"/>
    </row>
    <row r="515" ht="23.25" customHeight="1">
      <c r="A515" s="29"/>
      <c r="B515" s="29"/>
      <c r="C515" s="29"/>
      <c r="D515" s="2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60"/>
      <c r="U515" s="160"/>
      <c r="V515" s="160"/>
      <c r="W515" s="160"/>
      <c r="X515" s="160"/>
      <c r="Y515" s="160"/>
      <c r="Z515" s="29"/>
      <c r="AA515" s="29"/>
      <c r="AB515" s="29"/>
      <c r="AC515" s="29"/>
      <c r="AD515" s="29"/>
      <c r="AE515" s="29"/>
      <c r="AF515" s="29"/>
    </row>
    <row r="516" ht="23.25" customHeight="1">
      <c r="A516" s="29"/>
      <c r="B516" s="29"/>
      <c r="C516" s="29"/>
      <c r="D516" s="2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60"/>
      <c r="U516" s="160"/>
      <c r="V516" s="160"/>
      <c r="W516" s="160"/>
      <c r="X516" s="160"/>
      <c r="Y516" s="160"/>
      <c r="Z516" s="29"/>
      <c r="AA516" s="29"/>
      <c r="AB516" s="29"/>
      <c r="AC516" s="29"/>
      <c r="AD516" s="29"/>
      <c r="AE516" s="29"/>
      <c r="AF516" s="29"/>
    </row>
    <row r="517" ht="23.25" customHeight="1">
      <c r="A517" s="29"/>
      <c r="B517" s="29"/>
      <c r="C517" s="29"/>
      <c r="D517" s="2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60"/>
      <c r="U517" s="160"/>
      <c r="V517" s="160"/>
      <c r="W517" s="160"/>
      <c r="X517" s="160"/>
      <c r="Y517" s="160"/>
      <c r="Z517" s="29"/>
      <c r="AA517" s="29"/>
      <c r="AB517" s="29"/>
      <c r="AC517" s="29"/>
      <c r="AD517" s="29"/>
      <c r="AE517" s="29"/>
      <c r="AF517" s="29"/>
    </row>
    <row r="518" ht="23.25" customHeight="1">
      <c r="A518" s="29"/>
      <c r="B518" s="29"/>
      <c r="C518" s="29"/>
      <c r="D518" s="2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60"/>
      <c r="U518" s="160"/>
      <c r="V518" s="160"/>
      <c r="W518" s="160"/>
      <c r="X518" s="160"/>
      <c r="Y518" s="160"/>
      <c r="Z518" s="29"/>
      <c r="AA518" s="29"/>
      <c r="AB518" s="29"/>
      <c r="AC518" s="29"/>
      <c r="AD518" s="29"/>
      <c r="AE518" s="29"/>
      <c r="AF518" s="29"/>
    </row>
    <row r="519" ht="23.25" customHeight="1">
      <c r="A519" s="29"/>
      <c r="B519" s="29"/>
      <c r="C519" s="29"/>
      <c r="D519" s="2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60"/>
      <c r="U519" s="160"/>
      <c r="V519" s="160"/>
      <c r="W519" s="160"/>
      <c r="X519" s="160"/>
      <c r="Y519" s="160"/>
      <c r="Z519" s="29"/>
      <c r="AA519" s="29"/>
      <c r="AB519" s="29"/>
      <c r="AC519" s="29"/>
      <c r="AD519" s="29"/>
      <c r="AE519" s="29"/>
      <c r="AF519" s="29"/>
    </row>
    <row r="520" ht="23.25" customHeight="1">
      <c r="A520" s="29"/>
      <c r="B520" s="29"/>
      <c r="C520" s="29"/>
      <c r="D520" s="2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60"/>
      <c r="U520" s="160"/>
      <c r="V520" s="160"/>
      <c r="W520" s="160"/>
      <c r="X520" s="160"/>
      <c r="Y520" s="160"/>
      <c r="Z520" s="29"/>
      <c r="AA520" s="29"/>
      <c r="AB520" s="29"/>
      <c r="AC520" s="29"/>
      <c r="AD520" s="29"/>
      <c r="AE520" s="29"/>
      <c r="AF520" s="29"/>
    </row>
    <row r="521" ht="23.25" customHeight="1">
      <c r="A521" s="29"/>
      <c r="B521" s="29"/>
      <c r="C521" s="29"/>
      <c r="D521" s="2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60"/>
      <c r="U521" s="160"/>
      <c r="V521" s="160"/>
      <c r="W521" s="160"/>
      <c r="X521" s="160"/>
      <c r="Y521" s="160"/>
      <c r="Z521" s="29"/>
      <c r="AA521" s="29"/>
      <c r="AB521" s="29"/>
      <c r="AC521" s="29"/>
      <c r="AD521" s="29"/>
      <c r="AE521" s="29"/>
      <c r="AF521" s="29"/>
    </row>
    <row r="522" ht="23.25" customHeight="1">
      <c r="A522" s="29"/>
      <c r="B522" s="29"/>
      <c r="C522" s="29"/>
      <c r="D522" s="2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60"/>
      <c r="U522" s="160"/>
      <c r="V522" s="160"/>
      <c r="W522" s="160"/>
      <c r="X522" s="160"/>
      <c r="Y522" s="160"/>
      <c r="Z522" s="29"/>
      <c r="AA522" s="29"/>
      <c r="AB522" s="29"/>
      <c r="AC522" s="29"/>
      <c r="AD522" s="29"/>
      <c r="AE522" s="29"/>
      <c r="AF522" s="29"/>
    </row>
    <row r="523" ht="23.25" customHeight="1">
      <c r="A523" s="29"/>
      <c r="B523" s="29"/>
      <c r="C523" s="29"/>
      <c r="D523" s="2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60"/>
      <c r="U523" s="160"/>
      <c r="V523" s="160"/>
      <c r="W523" s="160"/>
      <c r="X523" s="160"/>
      <c r="Y523" s="160"/>
      <c r="Z523" s="29"/>
      <c r="AA523" s="29"/>
      <c r="AB523" s="29"/>
      <c r="AC523" s="29"/>
      <c r="AD523" s="29"/>
      <c r="AE523" s="29"/>
      <c r="AF523" s="29"/>
    </row>
    <row r="524" ht="23.25" customHeight="1">
      <c r="A524" s="29"/>
      <c r="B524" s="29"/>
      <c r="C524" s="29"/>
      <c r="D524" s="2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60"/>
      <c r="U524" s="160"/>
      <c r="V524" s="160"/>
      <c r="W524" s="160"/>
      <c r="X524" s="160"/>
      <c r="Y524" s="160"/>
      <c r="Z524" s="29"/>
      <c r="AA524" s="29"/>
      <c r="AB524" s="29"/>
      <c r="AC524" s="29"/>
      <c r="AD524" s="29"/>
      <c r="AE524" s="29"/>
      <c r="AF524" s="29"/>
    </row>
    <row r="525" ht="23.25" customHeight="1">
      <c r="A525" s="29"/>
      <c r="B525" s="29"/>
      <c r="C525" s="29"/>
      <c r="D525" s="2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60"/>
      <c r="U525" s="160"/>
      <c r="V525" s="160"/>
      <c r="W525" s="160"/>
      <c r="X525" s="160"/>
      <c r="Y525" s="160"/>
      <c r="Z525" s="29"/>
      <c r="AA525" s="29"/>
      <c r="AB525" s="29"/>
      <c r="AC525" s="29"/>
      <c r="AD525" s="29"/>
      <c r="AE525" s="29"/>
      <c r="AF525" s="29"/>
    </row>
    <row r="526" ht="23.25" customHeight="1">
      <c r="A526" s="29"/>
      <c r="B526" s="29"/>
      <c r="C526" s="29"/>
      <c r="D526" s="2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60"/>
      <c r="U526" s="160"/>
      <c r="V526" s="160"/>
      <c r="W526" s="160"/>
      <c r="X526" s="160"/>
      <c r="Y526" s="160"/>
      <c r="Z526" s="29"/>
      <c r="AA526" s="29"/>
      <c r="AB526" s="29"/>
      <c r="AC526" s="29"/>
      <c r="AD526" s="29"/>
      <c r="AE526" s="29"/>
      <c r="AF526" s="29"/>
    </row>
    <row r="527" ht="23.25" customHeight="1">
      <c r="A527" s="29"/>
      <c r="B527" s="29"/>
      <c r="C527" s="29"/>
      <c r="D527" s="2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60"/>
      <c r="U527" s="160"/>
      <c r="V527" s="160"/>
      <c r="W527" s="160"/>
      <c r="X527" s="160"/>
      <c r="Y527" s="160"/>
      <c r="Z527" s="29"/>
      <c r="AA527" s="29"/>
      <c r="AB527" s="29"/>
      <c r="AC527" s="29"/>
      <c r="AD527" s="29"/>
      <c r="AE527" s="29"/>
      <c r="AF527" s="29"/>
    </row>
    <row r="528" ht="23.25" customHeight="1">
      <c r="A528" s="29"/>
      <c r="B528" s="29"/>
      <c r="C528" s="29"/>
      <c r="D528" s="2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60"/>
      <c r="U528" s="160"/>
      <c r="V528" s="160"/>
      <c r="W528" s="160"/>
      <c r="X528" s="160"/>
      <c r="Y528" s="160"/>
      <c r="Z528" s="29"/>
      <c r="AA528" s="29"/>
      <c r="AB528" s="29"/>
      <c r="AC528" s="29"/>
      <c r="AD528" s="29"/>
      <c r="AE528" s="29"/>
      <c r="AF528" s="29"/>
    </row>
    <row r="529" ht="23.25" customHeight="1">
      <c r="A529" s="29"/>
      <c r="B529" s="29"/>
      <c r="C529" s="29"/>
      <c r="D529" s="2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60"/>
      <c r="U529" s="160"/>
      <c r="V529" s="160"/>
      <c r="W529" s="160"/>
      <c r="X529" s="160"/>
      <c r="Y529" s="160"/>
      <c r="Z529" s="29"/>
      <c r="AA529" s="29"/>
      <c r="AB529" s="29"/>
      <c r="AC529" s="29"/>
      <c r="AD529" s="29"/>
      <c r="AE529" s="29"/>
      <c r="AF529" s="29"/>
    </row>
    <row r="530" ht="23.25" customHeight="1">
      <c r="A530" s="29"/>
      <c r="B530" s="29"/>
      <c r="C530" s="29"/>
      <c r="D530" s="2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60"/>
      <c r="U530" s="160"/>
      <c r="V530" s="160"/>
      <c r="W530" s="160"/>
      <c r="X530" s="160"/>
      <c r="Y530" s="160"/>
      <c r="Z530" s="29"/>
      <c r="AA530" s="29"/>
      <c r="AB530" s="29"/>
      <c r="AC530" s="29"/>
      <c r="AD530" s="29"/>
      <c r="AE530" s="29"/>
      <c r="AF530" s="29"/>
    </row>
    <row r="531" ht="23.25" customHeight="1">
      <c r="A531" s="29"/>
      <c r="B531" s="29"/>
      <c r="C531" s="29"/>
      <c r="D531" s="2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60"/>
      <c r="U531" s="160"/>
      <c r="V531" s="160"/>
      <c r="W531" s="160"/>
      <c r="X531" s="160"/>
      <c r="Y531" s="160"/>
      <c r="Z531" s="29"/>
      <c r="AA531" s="29"/>
      <c r="AB531" s="29"/>
      <c r="AC531" s="29"/>
      <c r="AD531" s="29"/>
      <c r="AE531" s="29"/>
      <c r="AF531" s="29"/>
    </row>
    <row r="532" ht="23.25" customHeight="1">
      <c r="A532" s="29"/>
      <c r="B532" s="29"/>
      <c r="C532" s="29"/>
      <c r="D532" s="2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60"/>
      <c r="U532" s="160"/>
      <c r="V532" s="160"/>
      <c r="W532" s="160"/>
      <c r="X532" s="160"/>
      <c r="Y532" s="160"/>
      <c r="Z532" s="29"/>
      <c r="AA532" s="29"/>
      <c r="AB532" s="29"/>
      <c r="AC532" s="29"/>
      <c r="AD532" s="29"/>
      <c r="AE532" s="29"/>
      <c r="AF532" s="29"/>
    </row>
    <row r="533" ht="23.25" customHeight="1">
      <c r="A533" s="29"/>
      <c r="B533" s="29"/>
      <c r="C533" s="29"/>
      <c r="D533" s="2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60"/>
      <c r="U533" s="160"/>
      <c r="V533" s="160"/>
      <c r="W533" s="160"/>
      <c r="X533" s="160"/>
      <c r="Y533" s="160"/>
      <c r="Z533" s="29"/>
      <c r="AA533" s="29"/>
      <c r="AB533" s="29"/>
      <c r="AC533" s="29"/>
      <c r="AD533" s="29"/>
      <c r="AE533" s="29"/>
      <c r="AF533" s="29"/>
    </row>
    <row r="534" ht="23.25" customHeight="1">
      <c r="A534" s="29"/>
      <c r="B534" s="29"/>
      <c r="C534" s="29"/>
      <c r="D534" s="2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60"/>
      <c r="U534" s="160"/>
      <c r="V534" s="160"/>
      <c r="W534" s="160"/>
      <c r="X534" s="160"/>
      <c r="Y534" s="160"/>
      <c r="Z534" s="29"/>
      <c r="AA534" s="29"/>
      <c r="AB534" s="29"/>
      <c r="AC534" s="29"/>
      <c r="AD534" s="29"/>
      <c r="AE534" s="29"/>
      <c r="AF534" s="29"/>
    </row>
    <row r="535" ht="23.25" customHeight="1">
      <c r="A535" s="29"/>
      <c r="B535" s="29"/>
      <c r="C535" s="29"/>
      <c r="D535" s="2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60"/>
      <c r="U535" s="160"/>
      <c r="V535" s="160"/>
      <c r="W535" s="160"/>
      <c r="X535" s="160"/>
      <c r="Y535" s="160"/>
      <c r="Z535" s="29"/>
      <c r="AA535" s="29"/>
      <c r="AB535" s="29"/>
      <c r="AC535" s="29"/>
      <c r="AD535" s="29"/>
      <c r="AE535" s="29"/>
      <c r="AF535" s="29"/>
    </row>
    <row r="536" ht="23.25" customHeight="1">
      <c r="A536" s="29"/>
      <c r="B536" s="29"/>
      <c r="C536" s="29"/>
      <c r="D536" s="2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60"/>
      <c r="U536" s="160"/>
      <c r="V536" s="160"/>
      <c r="W536" s="160"/>
      <c r="X536" s="160"/>
      <c r="Y536" s="160"/>
      <c r="Z536" s="29"/>
      <c r="AA536" s="29"/>
      <c r="AB536" s="29"/>
      <c r="AC536" s="29"/>
      <c r="AD536" s="29"/>
      <c r="AE536" s="29"/>
      <c r="AF536" s="29"/>
    </row>
    <row r="537" ht="23.25" customHeight="1">
      <c r="A537" s="29"/>
      <c r="B537" s="29"/>
      <c r="C537" s="29"/>
      <c r="D537" s="2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60"/>
      <c r="U537" s="160"/>
      <c r="V537" s="160"/>
      <c r="W537" s="160"/>
      <c r="X537" s="160"/>
      <c r="Y537" s="160"/>
      <c r="Z537" s="29"/>
      <c r="AA537" s="29"/>
      <c r="AB537" s="29"/>
      <c r="AC537" s="29"/>
      <c r="AD537" s="29"/>
      <c r="AE537" s="29"/>
      <c r="AF537" s="29"/>
    </row>
    <row r="538" ht="23.25" customHeight="1">
      <c r="A538" s="29"/>
      <c r="B538" s="29"/>
      <c r="C538" s="29"/>
      <c r="D538" s="2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60"/>
      <c r="U538" s="160"/>
      <c r="V538" s="160"/>
      <c r="W538" s="160"/>
      <c r="X538" s="160"/>
      <c r="Y538" s="160"/>
      <c r="Z538" s="29"/>
      <c r="AA538" s="29"/>
      <c r="AB538" s="29"/>
      <c r="AC538" s="29"/>
      <c r="AD538" s="29"/>
      <c r="AE538" s="29"/>
      <c r="AF538" s="29"/>
    </row>
    <row r="539" ht="23.25" customHeight="1">
      <c r="A539" s="29"/>
      <c r="B539" s="29"/>
      <c r="C539" s="29"/>
      <c r="D539" s="2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60"/>
      <c r="U539" s="160"/>
      <c r="V539" s="160"/>
      <c r="W539" s="160"/>
      <c r="X539" s="160"/>
      <c r="Y539" s="160"/>
      <c r="Z539" s="29"/>
      <c r="AA539" s="29"/>
      <c r="AB539" s="29"/>
      <c r="AC539" s="29"/>
      <c r="AD539" s="29"/>
      <c r="AE539" s="29"/>
      <c r="AF539" s="29"/>
    </row>
    <row r="540" ht="23.25" customHeight="1">
      <c r="A540" s="29"/>
      <c r="B540" s="29"/>
      <c r="C540" s="29"/>
      <c r="D540" s="2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60"/>
      <c r="U540" s="160"/>
      <c r="V540" s="160"/>
      <c r="W540" s="160"/>
      <c r="X540" s="160"/>
      <c r="Y540" s="160"/>
      <c r="Z540" s="29"/>
      <c r="AA540" s="29"/>
      <c r="AB540" s="29"/>
      <c r="AC540" s="29"/>
      <c r="AD540" s="29"/>
      <c r="AE540" s="29"/>
      <c r="AF540" s="29"/>
    </row>
    <row r="541" ht="23.25" customHeight="1">
      <c r="A541" s="29"/>
      <c r="B541" s="29"/>
      <c r="C541" s="29"/>
      <c r="D541" s="2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60"/>
      <c r="U541" s="160"/>
      <c r="V541" s="160"/>
      <c r="W541" s="160"/>
      <c r="X541" s="160"/>
      <c r="Y541" s="160"/>
      <c r="Z541" s="29"/>
      <c r="AA541" s="29"/>
      <c r="AB541" s="29"/>
      <c r="AC541" s="29"/>
      <c r="AD541" s="29"/>
      <c r="AE541" s="29"/>
      <c r="AF541" s="29"/>
    </row>
    <row r="542" ht="23.25" customHeight="1">
      <c r="A542" s="29"/>
      <c r="B542" s="29"/>
      <c r="C542" s="29"/>
      <c r="D542" s="2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60"/>
      <c r="U542" s="160"/>
      <c r="V542" s="160"/>
      <c r="W542" s="160"/>
      <c r="X542" s="160"/>
      <c r="Y542" s="160"/>
      <c r="Z542" s="29"/>
      <c r="AA542" s="29"/>
      <c r="AB542" s="29"/>
      <c r="AC542" s="29"/>
      <c r="AD542" s="29"/>
      <c r="AE542" s="29"/>
      <c r="AF542" s="29"/>
    </row>
    <row r="543" ht="23.25" customHeight="1">
      <c r="A543" s="29"/>
      <c r="B543" s="29"/>
      <c r="C543" s="29"/>
      <c r="D543" s="2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60"/>
      <c r="U543" s="160"/>
      <c r="V543" s="160"/>
      <c r="W543" s="160"/>
      <c r="X543" s="160"/>
      <c r="Y543" s="160"/>
      <c r="Z543" s="29"/>
      <c r="AA543" s="29"/>
      <c r="AB543" s="29"/>
      <c r="AC543" s="29"/>
      <c r="AD543" s="29"/>
      <c r="AE543" s="29"/>
      <c r="AF543" s="29"/>
    </row>
    <row r="544" ht="23.25" customHeight="1">
      <c r="A544" s="29"/>
      <c r="B544" s="29"/>
      <c r="C544" s="29"/>
      <c r="D544" s="2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60"/>
      <c r="U544" s="160"/>
      <c r="V544" s="160"/>
      <c r="W544" s="160"/>
      <c r="X544" s="160"/>
      <c r="Y544" s="160"/>
      <c r="Z544" s="29"/>
      <c r="AA544" s="29"/>
      <c r="AB544" s="29"/>
      <c r="AC544" s="29"/>
      <c r="AD544" s="29"/>
      <c r="AE544" s="29"/>
      <c r="AF544" s="29"/>
    </row>
    <row r="545" ht="23.25" customHeight="1">
      <c r="A545" s="29"/>
      <c r="B545" s="29"/>
      <c r="C545" s="29"/>
      <c r="D545" s="2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60"/>
      <c r="U545" s="160"/>
      <c r="V545" s="160"/>
      <c r="W545" s="160"/>
      <c r="X545" s="160"/>
      <c r="Y545" s="160"/>
      <c r="Z545" s="29"/>
      <c r="AA545" s="29"/>
      <c r="AB545" s="29"/>
      <c r="AC545" s="29"/>
      <c r="AD545" s="29"/>
      <c r="AE545" s="29"/>
      <c r="AF545" s="29"/>
    </row>
    <row r="546" ht="23.25" customHeight="1">
      <c r="A546" s="29"/>
      <c r="B546" s="29"/>
      <c r="C546" s="29"/>
      <c r="D546" s="2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60"/>
      <c r="U546" s="160"/>
      <c r="V546" s="160"/>
      <c r="W546" s="160"/>
      <c r="X546" s="160"/>
      <c r="Y546" s="160"/>
      <c r="Z546" s="29"/>
      <c r="AA546" s="29"/>
      <c r="AB546" s="29"/>
      <c r="AC546" s="29"/>
      <c r="AD546" s="29"/>
      <c r="AE546" s="29"/>
      <c r="AF546" s="29"/>
    </row>
    <row r="547" ht="23.25" customHeight="1">
      <c r="A547" s="29"/>
      <c r="B547" s="29"/>
      <c r="C547" s="29"/>
      <c r="D547" s="2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60"/>
      <c r="U547" s="160"/>
      <c r="V547" s="160"/>
      <c r="W547" s="160"/>
      <c r="X547" s="160"/>
      <c r="Y547" s="160"/>
      <c r="Z547" s="29"/>
      <c r="AA547" s="29"/>
      <c r="AB547" s="29"/>
      <c r="AC547" s="29"/>
      <c r="AD547" s="29"/>
      <c r="AE547" s="29"/>
      <c r="AF547" s="29"/>
    </row>
    <row r="548" ht="23.25" customHeight="1">
      <c r="A548" s="29"/>
      <c r="B548" s="29"/>
      <c r="C548" s="29"/>
      <c r="D548" s="2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60"/>
      <c r="U548" s="160"/>
      <c r="V548" s="160"/>
      <c r="W548" s="160"/>
      <c r="X548" s="160"/>
      <c r="Y548" s="160"/>
      <c r="Z548" s="29"/>
      <c r="AA548" s="29"/>
      <c r="AB548" s="29"/>
      <c r="AC548" s="29"/>
      <c r="AD548" s="29"/>
      <c r="AE548" s="29"/>
      <c r="AF548" s="29"/>
    </row>
    <row r="549" ht="23.25" customHeight="1">
      <c r="A549" s="29"/>
      <c r="B549" s="29"/>
      <c r="C549" s="29"/>
      <c r="D549" s="2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60"/>
      <c r="U549" s="160"/>
      <c r="V549" s="160"/>
      <c r="W549" s="160"/>
      <c r="X549" s="160"/>
      <c r="Y549" s="160"/>
      <c r="Z549" s="29"/>
      <c r="AA549" s="29"/>
      <c r="AB549" s="29"/>
      <c r="AC549" s="29"/>
      <c r="AD549" s="29"/>
      <c r="AE549" s="29"/>
      <c r="AF549" s="29"/>
    </row>
    <row r="550" ht="23.25" customHeight="1">
      <c r="A550" s="29"/>
      <c r="B550" s="29"/>
      <c r="C550" s="29"/>
      <c r="D550" s="2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60"/>
      <c r="U550" s="160"/>
      <c r="V550" s="160"/>
      <c r="W550" s="160"/>
      <c r="X550" s="160"/>
      <c r="Y550" s="160"/>
      <c r="Z550" s="29"/>
      <c r="AA550" s="29"/>
      <c r="AB550" s="29"/>
      <c r="AC550" s="29"/>
      <c r="AD550" s="29"/>
      <c r="AE550" s="29"/>
      <c r="AF550" s="29"/>
    </row>
    <row r="551" ht="23.25" customHeight="1">
      <c r="A551" s="29"/>
      <c r="B551" s="29"/>
      <c r="C551" s="29"/>
      <c r="D551" s="2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60"/>
      <c r="U551" s="160"/>
      <c r="V551" s="160"/>
      <c r="W551" s="160"/>
      <c r="X551" s="160"/>
      <c r="Y551" s="160"/>
      <c r="Z551" s="29"/>
      <c r="AA551" s="29"/>
      <c r="AB551" s="29"/>
      <c r="AC551" s="29"/>
      <c r="AD551" s="29"/>
      <c r="AE551" s="29"/>
      <c r="AF551" s="29"/>
    </row>
    <row r="552" ht="23.25" customHeight="1">
      <c r="A552" s="29"/>
      <c r="B552" s="29"/>
      <c r="C552" s="29"/>
      <c r="D552" s="2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60"/>
      <c r="U552" s="160"/>
      <c r="V552" s="160"/>
      <c r="W552" s="160"/>
      <c r="X552" s="160"/>
      <c r="Y552" s="160"/>
      <c r="Z552" s="29"/>
      <c r="AA552" s="29"/>
      <c r="AB552" s="29"/>
      <c r="AC552" s="29"/>
      <c r="AD552" s="29"/>
      <c r="AE552" s="29"/>
      <c r="AF552" s="29"/>
    </row>
    <row r="553" ht="23.25" customHeight="1">
      <c r="A553" s="29"/>
      <c r="B553" s="29"/>
      <c r="C553" s="29"/>
      <c r="D553" s="2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60"/>
      <c r="U553" s="160"/>
      <c r="V553" s="160"/>
      <c r="W553" s="160"/>
      <c r="X553" s="160"/>
      <c r="Y553" s="160"/>
      <c r="Z553" s="29"/>
      <c r="AA553" s="29"/>
      <c r="AB553" s="29"/>
      <c r="AC553" s="29"/>
      <c r="AD553" s="29"/>
      <c r="AE553" s="29"/>
      <c r="AF553" s="29"/>
    </row>
    <row r="554" ht="23.25" customHeight="1">
      <c r="A554" s="29"/>
      <c r="B554" s="29"/>
      <c r="C554" s="29"/>
      <c r="D554" s="2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60"/>
      <c r="U554" s="160"/>
      <c r="V554" s="160"/>
      <c r="W554" s="160"/>
      <c r="X554" s="160"/>
      <c r="Y554" s="160"/>
      <c r="Z554" s="29"/>
      <c r="AA554" s="29"/>
      <c r="AB554" s="29"/>
      <c r="AC554" s="29"/>
      <c r="AD554" s="29"/>
      <c r="AE554" s="29"/>
      <c r="AF554" s="29"/>
    </row>
    <row r="555" ht="23.25" customHeight="1">
      <c r="A555" s="29"/>
      <c r="B555" s="29"/>
      <c r="C555" s="29"/>
      <c r="D555" s="2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60"/>
      <c r="U555" s="160"/>
      <c r="V555" s="160"/>
      <c r="W555" s="160"/>
      <c r="X555" s="160"/>
      <c r="Y555" s="160"/>
      <c r="Z555" s="29"/>
      <c r="AA555" s="29"/>
      <c r="AB555" s="29"/>
      <c r="AC555" s="29"/>
      <c r="AD555" s="29"/>
      <c r="AE555" s="29"/>
      <c r="AF555" s="29"/>
    </row>
    <row r="556" ht="23.25" customHeight="1">
      <c r="A556" s="29"/>
      <c r="B556" s="29"/>
      <c r="C556" s="29"/>
      <c r="D556" s="2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60"/>
      <c r="U556" s="160"/>
      <c r="V556" s="160"/>
      <c r="W556" s="160"/>
      <c r="X556" s="160"/>
      <c r="Y556" s="160"/>
      <c r="Z556" s="29"/>
      <c r="AA556" s="29"/>
      <c r="AB556" s="29"/>
      <c r="AC556" s="29"/>
      <c r="AD556" s="29"/>
      <c r="AE556" s="29"/>
      <c r="AF556" s="29"/>
    </row>
    <row r="557" ht="23.25" customHeight="1">
      <c r="A557" s="29"/>
      <c r="B557" s="29"/>
      <c r="C557" s="29"/>
      <c r="D557" s="2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60"/>
      <c r="U557" s="160"/>
      <c r="V557" s="160"/>
      <c r="W557" s="160"/>
      <c r="X557" s="160"/>
      <c r="Y557" s="160"/>
      <c r="Z557" s="29"/>
      <c r="AA557" s="29"/>
      <c r="AB557" s="29"/>
      <c r="AC557" s="29"/>
      <c r="AD557" s="29"/>
      <c r="AE557" s="29"/>
      <c r="AF557" s="29"/>
    </row>
    <row r="558" ht="23.25" customHeight="1">
      <c r="A558" s="29"/>
      <c r="B558" s="29"/>
      <c r="C558" s="29"/>
      <c r="D558" s="2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60"/>
      <c r="U558" s="160"/>
      <c r="V558" s="160"/>
      <c r="W558" s="160"/>
      <c r="X558" s="160"/>
      <c r="Y558" s="160"/>
      <c r="Z558" s="29"/>
      <c r="AA558" s="29"/>
      <c r="AB558" s="29"/>
      <c r="AC558" s="29"/>
      <c r="AD558" s="29"/>
      <c r="AE558" s="29"/>
      <c r="AF558" s="29"/>
    </row>
    <row r="559" ht="23.25" customHeight="1">
      <c r="A559" s="29"/>
      <c r="B559" s="29"/>
      <c r="C559" s="29"/>
      <c r="D559" s="2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60"/>
      <c r="U559" s="160"/>
      <c r="V559" s="160"/>
      <c r="W559" s="160"/>
      <c r="X559" s="160"/>
      <c r="Y559" s="160"/>
      <c r="Z559" s="29"/>
      <c r="AA559" s="29"/>
      <c r="AB559" s="29"/>
      <c r="AC559" s="29"/>
      <c r="AD559" s="29"/>
      <c r="AE559" s="29"/>
      <c r="AF559" s="29"/>
    </row>
    <row r="560" ht="23.25" customHeight="1">
      <c r="A560" s="29"/>
      <c r="B560" s="29"/>
      <c r="C560" s="29"/>
      <c r="D560" s="2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60"/>
      <c r="U560" s="160"/>
      <c r="V560" s="160"/>
      <c r="W560" s="160"/>
      <c r="X560" s="160"/>
      <c r="Y560" s="160"/>
      <c r="Z560" s="29"/>
      <c r="AA560" s="29"/>
      <c r="AB560" s="29"/>
      <c r="AC560" s="29"/>
      <c r="AD560" s="29"/>
      <c r="AE560" s="29"/>
      <c r="AF560" s="29"/>
    </row>
    <row r="561" ht="23.25" customHeight="1">
      <c r="A561" s="29"/>
      <c r="B561" s="29"/>
      <c r="C561" s="29"/>
      <c r="D561" s="2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60"/>
      <c r="U561" s="160"/>
      <c r="V561" s="160"/>
      <c r="W561" s="160"/>
      <c r="X561" s="160"/>
      <c r="Y561" s="160"/>
      <c r="Z561" s="29"/>
      <c r="AA561" s="29"/>
      <c r="AB561" s="29"/>
      <c r="AC561" s="29"/>
      <c r="AD561" s="29"/>
      <c r="AE561" s="29"/>
      <c r="AF561" s="29"/>
    </row>
    <row r="562" ht="23.25" customHeight="1">
      <c r="A562" s="29"/>
      <c r="B562" s="29"/>
      <c r="C562" s="29"/>
      <c r="D562" s="2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60"/>
      <c r="U562" s="160"/>
      <c r="V562" s="160"/>
      <c r="W562" s="160"/>
      <c r="X562" s="160"/>
      <c r="Y562" s="160"/>
      <c r="Z562" s="29"/>
      <c r="AA562" s="29"/>
      <c r="AB562" s="29"/>
      <c r="AC562" s="29"/>
      <c r="AD562" s="29"/>
      <c r="AE562" s="29"/>
      <c r="AF562" s="29"/>
    </row>
    <row r="563" ht="23.25" customHeight="1">
      <c r="A563" s="29"/>
      <c r="B563" s="29"/>
      <c r="C563" s="29"/>
      <c r="D563" s="2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60"/>
      <c r="U563" s="160"/>
      <c r="V563" s="160"/>
      <c r="W563" s="160"/>
      <c r="X563" s="160"/>
      <c r="Y563" s="160"/>
      <c r="Z563" s="29"/>
      <c r="AA563" s="29"/>
      <c r="AB563" s="29"/>
      <c r="AC563" s="29"/>
      <c r="AD563" s="29"/>
      <c r="AE563" s="29"/>
      <c r="AF563" s="29"/>
    </row>
    <row r="564" ht="23.25" customHeight="1">
      <c r="A564" s="29"/>
      <c r="B564" s="29"/>
      <c r="C564" s="29"/>
      <c r="D564" s="2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60"/>
      <c r="U564" s="160"/>
      <c r="V564" s="160"/>
      <c r="W564" s="160"/>
      <c r="X564" s="160"/>
      <c r="Y564" s="160"/>
      <c r="Z564" s="29"/>
      <c r="AA564" s="29"/>
      <c r="AB564" s="29"/>
      <c r="AC564" s="29"/>
      <c r="AD564" s="29"/>
      <c r="AE564" s="29"/>
      <c r="AF564" s="29"/>
    </row>
    <row r="565" ht="23.25" customHeight="1">
      <c r="A565" s="29"/>
      <c r="B565" s="29"/>
      <c r="C565" s="29"/>
      <c r="D565" s="2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60"/>
      <c r="U565" s="160"/>
      <c r="V565" s="160"/>
      <c r="W565" s="160"/>
      <c r="X565" s="160"/>
      <c r="Y565" s="160"/>
      <c r="Z565" s="29"/>
      <c r="AA565" s="29"/>
      <c r="AB565" s="29"/>
      <c r="AC565" s="29"/>
      <c r="AD565" s="29"/>
      <c r="AE565" s="29"/>
      <c r="AF565" s="29"/>
    </row>
    <row r="566" ht="23.25" customHeight="1">
      <c r="A566" s="29"/>
      <c r="B566" s="29"/>
      <c r="C566" s="29"/>
      <c r="D566" s="2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60"/>
      <c r="U566" s="160"/>
      <c r="V566" s="160"/>
      <c r="W566" s="160"/>
      <c r="X566" s="160"/>
      <c r="Y566" s="160"/>
      <c r="Z566" s="29"/>
      <c r="AA566" s="29"/>
      <c r="AB566" s="29"/>
      <c r="AC566" s="29"/>
      <c r="AD566" s="29"/>
      <c r="AE566" s="29"/>
      <c r="AF566" s="29"/>
    </row>
    <row r="567" ht="23.25" customHeight="1">
      <c r="A567" s="29"/>
      <c r="B567" s="29"/>
      <c r="C567" s="29"/>
      <c r="D567" s="2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60"/>
      <c r="U567" s="160"/>
      <c r="V567" s="160"/>
      <c r="W567" s="160"/>
      <c r="X567" s="160"/>
      <c r="Y567" s="160"/>
      <c r="Z567" s="29"/>
      <c r="AA567" s="29"/>
      <c r="AB567" s="29"/>
      <c r="AC567" s="29"/>
      <c r="AD567" s="29"/>
      <c r="AE567" s="29"/>
      <c r="AF567" s="29"/>
    </row>
    <row r="568" ht="23.25" customHeight="1">
      <c r="A568" s="29"/>
      <c r="B568" s="29"/>
      <c r="C568" s="29"/>
      <c r="D568" s="2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60"/>
      <c r="U568" s="160"/>
      <c r="V568" s="160"/>
      <c r="W568" s="160"/>
      <c r="X568" s="160"/>
      <c r="Y568" s="160"/>
      <c r="Z568" s="29"/>
      <c r="AA568" s="29"/>
      <c r="AB568" s="29"/>
      <c r="AC568" s="29"/>
      <c r="AD568" s="29"/>
      <c r="AE568" s="29"/>
      <c r="AF568" s="29"/>
    </row>
    <row r="569" ht="23.25" customHeight="1">
      <c r="A569" s="29"/>
      <c r="B569" s="29"/>
      <c r="C569" s="29"/>
      <c r="D569" s="2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60"/>
      <c r="U569" s="160"/>
      <c r="V569" s="160"/>
      <c r="W569" s="160"/>
      <c r="X569" s="160"/>
      <c r="Y569" s="160"/>
      <c r="Z569" s="29"/>
      <c r="AA569" s="29"/>
      <c r="AB569" s="29"/>
      <c r="AC569" s="29"/>
      <c r="AD569" s="29"/>
      <c r="AE569" s="29"/>
      <c r="AF569" s="29"/>
    </row>
    <row r="570" ht="23.25" customHeight="1">
      <c r="A570" s="29"/>
      <c r="B570" s="29"/>
      <c r="C570" s="29"/>
      <c r="D570" s="2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60"/>
      <c r="U570" s="160"/>
      <c r="V570" s="160"/>
      <c r="W570" s="160"/>
      <c r="X570" s="160"/>
      <c r="Y570" s="160"/>
      <c r="Z570" s="29"/>
      <c r="AA570" s="29"/>
      <c r="AB570" s="29"/>
      <c r="AC570" s="29"/>
      <c r="AD570" s="29"/>
      <c r="AE570" s="29"/>
      <c r="AF570" s="29"/>
    </row>
    <row r="571" ht="23.25" customHeight="1">
      <c r="A571" s="29"/>
      <c r="B571" s="29"/>
      <c r="C571" s="29"/>
      <c r="D571" s="2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60"/>
      <c r="U571" s="160"/>
      <c r="V571" s="160"/>
      <c r="W571" s="160"/>
      <c r="X571" s="160"/>
      <c r="Y571" s="160"/>
      <c r="Z571" s="29"/>
      <c r="AA571" s="29"/>
      <c r="AB571" s="29"/>
      <c r="AC571" s="29"/>
      <c r="AD571" s="29"/>
      <c r="AE571" s="29"/>
      <c r="AF571" s="29"/>
    </row>
    <row r="572" ht="23.25" customHeight="1">
      <c r="A572" s="29"/>
      <c r="B572" s="29"/>
      <c r="C572" s="29"/>
      <c r="D572" s="2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60"/>
      <c r="U572" s="160"/>
      <c r="V572" s="160"/>
      <c r="W572" s="160"/>
      <c r="X572" s="160"/>
      <c r="Y572" s="160"/>
      <c r="Z572" s="29"/>
      <c r="AA572" s="29"/>
      <c r="AB572" s="29"/>
      <c r="AC572" s="29"/>
      <c r="AD572" s="29"/>
      <c r="AE572" s="29"/>
      <c r="AF572" s="29"/>
    </row>
    <row r="573" ht="23.25" customHeight="1">
      <c r="A573" s="29"/>
      <c r="B573" s="29"/>
      <c r="C573" s="29"/>
      <c r="D573" s="2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60"/>
      <c r="U573" s="160"/>
      <c r="V573" s="160"/>
      <c r="W573" s="160"/>
      <c r="X573" s="160"/>
      <c r="Y573" s="160"/>
      <c r="Z573" s="29"/>
      <c r="AA573" s="29"/>
      <c r="AB573" s="29"/>
      <c r="AC573" s="29"/>
      <c r="AD573" s="29"/>
      <c r="AE573" s="29"/>
      <c r="AF573" s="29"/>
    </row>
    <row r="574" ht="23.25" customHeight="1">
      <c r="A574" s="29"/>
      <c r="B574" s="29"/>
      <c r="C574" s="29"/>
      <c r="D574" s="2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60"/>
      <c r="U574" s="160"/>
      <c r="V574" s="160"/>
      <c r="W574" s="160"/>
      <c r="X574" s="160"/>
      <c r="Y574" s="160"/>
      <c r="Z574" s="29"/>
      <c r="AA574" s="29"/>
      <c r="AB574" s="29"/>
      <c r="AC574" s="29"/>
      <c r="AD574" s="29"/>
      <c r="AE574" s="29"/>
      <c r="AF574" s="29"/>
    </row>
    <row r="575" ht="23.25" customHeight="1">
      <c r="A575" s="29"/>
      <c r="B575" s="29"/>
      <c r="C575" s="29"/>
      <c r="D575" s="2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60"/>
      <c r="U575" s="160"/>
      <c r="V575" s="160"/>
      <c r="W575" s="160"/>
      <c r="X575" s="160"/>
      <c r="Y575" s="160"/>
      <c r="Z575" s="29"/>
      <c r="AA575" s="29"/>
      <c r="AB575" s="29"/>
      <c r="AC575" s="29"/>
      <c r="AD575" s="29"/>
      <c r="AE575" s="29"/>
      <c r="AF575" s="29"/>
    </row>
    <row r="576" ht="23.25" customHeight="1">
      <c r="A576" s="29"/>
      <c r="B576" s="29"/>
      <c r="C576" s="29"/>
      <c r="D576" s="2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60"/>
      <c r="U576" s="160"/>
      <c r="V576" s="160"/>
      <c r="W576" s="160"/>
      <c r="X576" s="160"/>
      <c r="Y576" s="160"/>
      <c r="Z576" s="29"/>
      <c r="AA576" s="29"/>
      <c r="AB576" s="29"/>
      <c r="AC576" s="29"/>
      <c r="AD576" s="29"/>
      <c r="AE576" s="29"/>
      <c r="AF576" s="29"/>
    </row>
    <row r="577" ht="23.25" customHeight="1">
      <c r="A577" s="29"/>
      <c r="B577" s="29"/>
      <c r="C577" s="29"/>
      <c r="D577" s="2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60"/>
      <c r="U577" s="160"/>
      <c r="V577" s="160"/>
      <c r="W577" s="160"/>
      <c r="X577" s="160"/>
      <c r="Y577" s="160"/>
      <c r="Z577" s="29"/>
      <c r="AA577" s="29"/>
      <c r="AB577" s="29"/>
      <c r="AC577" s="29"/>
      <c r="AD577" s="29"/>
      <c r="AE577" s="29"/>
      <c r="AF577" s="29"/>
    </row>
    <row r="578" ht="23.25" customHeight="1">
      <c r="A578" s="29"/>
      <c r="B578" s="29"/>
      <c r="C578" s="29"/>
      <c r="D578" s="2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60"/>
      <c r="U578" s="160"/>
      <c r="V578" s="160"/>
      <c r="W578" s="160"/>
      <c r="X578" s="160"/>
      <c r="Y578" s="160"/>
      <c r="Z578" s="29"/>
      <c r="AA578" s="29"/>
      <c r="AB578" s="29"/>
      <c r="AC578" s="29"/>
      <c r="AD578" s="29"/>
      <c r="AE578" s="29"/>
      <c r="AF578" s="29"/>
    </row>
    <row r="579" ht="23.25" customHeight="1">
      <c r="A579" s="29"/>
      <c r="B579" s="29"/>
      <c r="C579" s="29"/>
      <c r="D579" s="2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60"/>
      <c r="U579" s="160"/>
      <c r="V579" s="160"/>
      <c r="W579" s="160"/>
      <c r="X579" s="160"/>
      <c r="Y579" s="160"/>
      <c r="Z579" s="29"/>
      <c r="AA579" s="29"/>
      <c r="AB579" s="29"/>
      <c r="AC579" s="29"/>
      <c r="AD579" s="29"/>
      <c r="AE579" s="29"/>
      <c r="AF579" s="29"/>
    </row>
    <row r="580" ht="23.25" customHeight="1">
      <c r="A580" s="29"/>
      <c r="B580" s="29"/>
      <c r="C580" s="29"/>
      <c r="D580" s="2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60"/>
      <c r="U580" s="160"/>
      <c r="V580" s="160"/>
      <c r="W580" s="160"/>
      <c r="X580" s="160"/>
      <c r="Y580" s="160"/>
      <c r="Z580" s="29"/>
      <c r="AA580" s="29"/>
      <c r="AB580" s="29"/>
      <c r="AC580" s="29"/>
      <c r="AD580" s="29"/>
      <c r="AE580" s="29"/>
      <c r="AF580" s="29"/>
    </row>
    <row r="581" ht="23.25" customHeight="1">
      <c r="A581" s="29"/>
      <c r="B581" s="29"/>
      <c r="C581" s="29"/>
      <c r="D581" s="2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60"/>
      <c r="U581" s="160"/>
      <c r="V581" s="160"/>
      <c r="W581" s="160"/>
      <c r="X581" s="160"/>
      <c r="Y581" s="160"/>
      <c r="Z581" s="29"/>
      <c r="AA581" s="29"/>
      <c r="AB581" s="29"/>
      <c r="AC581" s="29"/>
      <c r="AD581" s="29"/>
      <c r="AE581" s="29"/>
      <c r="AF581" s="29"/>
    </row>
    <row r="582" ht="23.25" customHeight="1">
      <c r="A582" s="29"/>
      <c r="B582" s="29"/>
      <c r="C582" s="29"/>
      <c r="D582" s="2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60"/>
      <c r="U582" s="160"/>
      <c r="V582" s="160"/>
      <c r="W582" s="160"/>
      <c r="X582" s="160"/>
      <c r="Y582" s="160"/>
      <c r="Z582" s="29"/>
      <c r="AA582" s="29"/>
      <c r="AB582" s="29"/>
      <c r="AC582" s="29"/>
      <c r="AD582" s="29"/>
      <c r="AE582" s="29"/>
      <c r="AF582" s="29"/>
    </row>
    <row r="583" ht="23.25" customHeight="1">
      <c r="A583" s="29"/>
      <c r="B583" s="29"/>
      <c r="C583" s="29"/>
      <c r="D583" s="2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60"/>
      <c r="U583" s="160"/>
      <c r="V583" s="160"/>
      <c r="W583" s="160"/>
      <c r="X583" s="160"/>
      <c r="Y583" s="160"/>
      <c r="Z583" s="29"/>
      <c r="AA583" s="29"/>
      <c r="AB583" s="29"/>
      <c r="AC583" s="29"/>
      <c r="AD583" s="29"/>
      <c r="AE583" s="29"/>
      <c r="AF583" s="29"/>
    </row>
    <row r="584" ht="23.25" customHeight="1">
      <c r="A584" s="29"/>
      <c r="B584" s="29"/>
      <c r="C584" s="29"/>
      <c r="D584" s="2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60"/>
      <c r="U584" s="160"/>
      <c r="V584" s="160"/>
      <c r="W584" s="160"/>
      <c r="X584" s="160"/>
      <c r="Y584" s="160"/>
      <c r="Z584" s="29"/>
      <c r="AA584" s="29"/>
      <c r="AB584" s="29"/>
      <c r="AC584" s="29"/>
      <c r="AD584" s="29"/>
      <c r="AE584" s="29"/>
      <c r="AF584" s="29"/>
    </row>
    <row r="585" ht="23.25" customHeight="1">
      <c r="A585" s="29"/>
      <c r="B585" s="29"/>
      <c r="C585" s="29"/>
      <c r="D585" s="2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60"/>
      <c r="U585" s="160"/>
      <c r="V585" s="160"/>
      <c r="W585" s="160"/>
      <c r="X585" s="160"/>
      <c r="Y585" s="160"/>
      <c r="Z585" s="29"/>
      <c r="AA585" s="29"/>
      <c r="AB585" s="29"/>
      <c r="AC585" s="29"/>
      <c r="AD585" s="29"/>
      <c r="AE585" s="29"/>
      <c r="AF585" s="29"/>
    </row>
    <row r="586" ht="23.25" customHeight="1">
      <c r="A586" s="29"/>
      <c r="B586" s="29"/>
      <c r="C586" s="29"/>
      <c r="D586" s="2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60"/>
      <c r="U586" s="160"/>
      <c r="V586" s="160"/>
      <c r="W586" s="160"/>
      <c r="X586" s="160"/>
      <c r="Y586" s="160"/>
      <c r="Z586" s="29"/>
      <c r="AA586" s="29"/>
      <c r="AB586" s="29"/>
      <c r="AC586" s="29"/>
      <c r="AD586" s="29"/>
      <c r="AE586" s="29"/>
      <c r="AF586" s="29"/>
    </row>
    <row r="587" ht="23.25" customHeight="1">
      <c r="A587" s="29"/>
      <c r="B587" s="29"/>
      <c r="C587" s="29"/>
      <c r="D587" s="2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60"/>
      <c r="U587" s="160"/>
      <c r="V587" s="160"/>
      <c r="W587" s="160"/>
      <c r="X587" s="160"/>
      <c r="Y587" s="160"/>
      <c r="Z587" s="29"/>
      <c r="AA587" s="29"/>
      <c r="AB587" s="29"/>
      <c r="AC587" s="29"/>
      <c r="AD587" s="29"/>
      <c r="AE587" s="29"/>
      <c r="AF587" s="29"/>
    </row>
    <row r="588" ht="23.25" customHeight="1">
      <c r="A588" s="29"/>
      <c r="B588" s="29"/>
      <c r="C588" s="29"/>
      <c r="D588" s="2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60"/>
      <c r="U588" s="160"/>
      <c r="V588" s="160"/>
      <c r="W588" s="160"/>
      <c r="X588" s="160"/>
      <c r="Y588" s="160"/>
      <c r="Z588" s="29"/>
      <c r="AA588" s="29"/>
      <c r="AB588" s="29"/>
      <c r="AC588" s="29"/>
      <c r="AD588" s="29"/>
      <c r="AE588" s="29"/>
      <c r="AF588" s="29"/>
    </row>
    <row r="589" ht="23.25" customHeight="1">
      <c r="A589" s="29"/>
      <c r="B589" s="29"/>
      <c r="C589" s="29"/>
      <c r="D589" s="2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60"/>
      <c r="U589" s="160"/>
      <c r="V589" s="160"/>
      <c r="W589" s="160"/>
      <c r="X589" s="160"/>
      <c r="Y589" s="160"/>
      <c r="Z589" s="29"/>
      <c r="AA589" s="29"/>
      <c r="AB589" s="29"/>
      <c r="AC589" s="29"/>
      <c r="AD589" s="29"/>
      <c r="AE589" s="29"/>
      <c r="AF589" s="29"/>
    </row>
    <row r="590" ht="23.25" customHeight="1">
      <c r="A590" s="29"/>
      <c r="B590" s="29"/>
      <c r="C590" s="29"/>
      <c r="D590" s="2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60"/>
      <c r="U590" s="160"/>
      <c r="V590" s="160"/>
      <c r="W590" s="160"/>
      <c r="X590" s="160"/>
      <c r="Y590" s="160"/>
      <c r="Z590" s="29"/>
      <c r="AA590" s="29"/>
      <c r="AB590" s="29"/>
      <c r="AC590" s="29"/>
      <c r="AD590" s="29"/>
      <c r="AE590" s="29"/>
      <c r="AF590" s="29"/>
    </row>
    <row r="591" ht="23.25" customHeight="1">
      <c r="A591" s="29"/>
      <c r="B591" s="29"/>
      <c r="C591" s="29"/>
      <c r="D591" s="2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60"/>
      <c r="U591" s="160"/>
      <c r="V591" s="160"/>
      <c r="W591" s="160"/>
      <c r="X591" s="160"/>
      <c r="Y591" s="160"/>
      <c r="Z591" s="29"/>
      <c r="AA591" s="29"/>
      <c r="AB591" s="29"/>
      <c r="AC591" s="29"/>
      <c r="AD591" s="29"/>
      <c r="AE591" s="29"/>
      <c r="AF591" s="29"/>
    </row>
    <row r="592" ht="23.25" customHeight="1">
      <c r="A592" s="29"/>
      <c r="B592" s="29"/>
      <c r="C592" s="29"/>
      <c r="D592" s="2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60"/>
      <c r="U592" s="160"/>
      <c r="V592" s="160"/>
      <c r="W592" s="160"/>
      <c r="X592" s="160"/>
      <c r="Y592" s="160"/>
      <c r="Z592" s="29"/>
      <c r="AA592" s="29"/>
      <c r="AB592" s="29"/>
      <c r="AC592" s="29"/>
      <c r="AD592" s="29"/>
      <c r="AE592" s="29"/>
      <c r="AF592" s="29"/>
    </row>
    <row r="593" ht="23.25" customHeight="1">
      <c r="A593" s="29"/>
      <c r="B593" s="29"/>
      <c r="C593" s="29"/>
      <c r="D593" s="2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60"/>
      <c r="U593" s="160"/>
      <c r="V593" s="160"/>
      <c r="W593" s="160"/>
      <c r="X593" s="160"/>
      <c r="Y593" s="160"/>
      <c r="Z593" s="29"/>
      <c r="AA593" s="29"/>
      <c r="AB593" s="29"/>
      <c r="AC593" s="29"/>
      <c r="AD593" s="29"/>
      <c r="AE593" s="29"/>
      <c r="AF593" s="29"/>
    </row>
    <row r="594" ht="23.25" customHeight="1">
      <c r="A594" s="29"/>
      <c r="B594" s="29"/>
      <c r="C594" s="29"/>
      <c r="D594" s="2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60"/>
      <c r="U594" s="160"/>
      <c r="V594" s="160"/>
      <c r="W594" s="160"/>
      <c r="X594" s="160"/>
      <c r="Y594" s="160"/>
      <c r="Z594" s="29"/>
      <c r="AA594" s="29"/>
      <c r="AB594" s="29"/>
      <c r="AC594" s="29"/>
      <c r="AD594" s="29"/>
      <c r="AE594" s="29"/>
      <c r="AF594" s="29"/>
    </row>
    <row r="595" ht="23.25" customHeight="1">
      <c r="A595" s="29"/>
      <c r="B595" s="29"/>
      <c r="C595" s="29"/>
      <c r="D595" s="2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60"/>
      <c r="U595" s="160"/>
      <c r="V595" s="160"/>
      <c r="W595" s="160"/>
      <c r="X595" s="160"/>
      <c r="Y595" s="160"/>
      <c r="Z595" s="29"/>
      <c r="AA595" s="29"/>
      <c r="AB595" s="29"/>
      <c r="AC595" s="29"/>
      <c r="AD595" s="29"/>
      <c r="AE595" s="29"/>
      <c r="AF595" s="29"/>
    </row>
    <row r="596" ht="23.25" customHeight="1">
      <c r="A596" s="29"/>
      <c r="B596" s="29"/>
      <c r="C596" s="29"/>
      <c r="D596" s="2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60"/>
      <c r="U596" s="160"/>
      <c r="V596" s="160"/>
      <c r="W596" s="160"/>
      <c r="X596" s="160"/>
      <c r="Y596" s="160"/>
      <c r="Z596" s="29"/>
      <c r="AA596" s="29"/>
      <c r="AB596" s="29"/>
      <c r="AC596" s="29"/>
      <c r="AD596" s="29"/>
      <c r="AE596" s="29"/>
      <c r="AF596" s="29"/>
    </row>
    <row r="597" ht="23.25" customHeight="1">
      <c r="A597" s="29"/>
      <c r="B597" s="29"/>
      <c r="C597" s="29"/>
      <c r="D597" s="2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60"/>
      <c r="U597" s="160"/>
      <c r="V597" s="160"/>
      <c r="W597" s="160"/>
      <c r="X597" s="160"/>
      <c r="Y597" s="160"/>
      <c r="Z597" s="29"/>
      <c r="AA597" s="29"/>
      <c r="AB597" s="29"/>
      <c r="AC597" s="29"/>
      <c r="AD597" s="29"/>
      <c r="AE597" s="29"/>
      <c r="AF597" s="29"/>
    </row>
    <row r="598" ht="23.25" customHeight="1">
      <c r="A598" s="29"/>
      <c r="B598" s="29"/>
      <c r="C598" s="29"/>
      <c r="D598" s="2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60"/>
      <c r="U598" s="160"/>
      <c r="V598" s="160"/>
      <c r="W598" s="160"/>
      <c r="X598" s="160"/>
      <c r="Y598" s="160"/>
      <c r="Z598" s="29"/>
      <c r="AA598" s="29"/>
      <c r="AB598" s="29"/>
      <c r="AC598" s="29"/>
      <c r="AD598" s="29"/>
      <c r="AE598" s="29"/>
      <c r="AF598" s="29"/>
    </row>
    <row r="599" ht="23.25" customHeight="1">
      <c r="A599" s="29"/>
      <c r="B599" s="29"/>
      <c r="C599" s="29"/>
      <c r="D599" s="2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60"/>
      <c r="U599" s="160"/>
      <c r="V599" s="160"/>
      <c r="W599" s="160"/>
      <c r="X599" s="160"/>
      <c r="Y599" s="160"/>
      <c r="Z599" s="29"/>
      <c r="AA599" s="29"/>
      <c r="AB599" s="29"/>
      <c r="AC599" s="29"/>
      <c r="AD599" s="29"/>
      <c r="AE599" s="29"/>
      <c r="AF599" s="29"/>
    </row>
    <row r="600" ht="23.25" customHeight="1">
      <c r="A600" s="29"/>
      <c r="B600" s="29"/>
      <c r="C600" s="29"/>
      <c r="D600" s="2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60"/>
      <c r="U600" s="160"/>
      <c r="V600" s="160"/>
      <c r="W600" s="160"/>
      <c r="X600" s="160"/>
      <c r="Y600" s="160"/>
      <c r="Z600" s="29"/>
      <c r="AA600" s="29"/>
      <c r="AB600" s="29"/>
      <c r="AC600" s="29"/>
      <c r="AD600" s="29"/>
      <c r="AE600" s="29"/>
      <c r="AF600" s="29"/>
    </row>
    <row r="601" ht="23.25" customHeight="1">
      <c r="A601" s="29"/>
      <c r="B601" s="29"/>
      <c r="C601" s="29"/>
      <c r="D601" s="2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60"/>
      <c r="U601" s="160"/>
      <c r="V601" s="160"/>
      <c r="W601" s="160"/>
      <c r="X601" s="160"/>
      <c r="Y601" s="160"/>
      <c r="Z601" s="29"/>
      <c r="AA601" s="29"/>
      <c r="AB601" s="29"/>
      <c r="AC601" s="29"/>
      <c r="AD601" s="29"/>
      <c r="AE601" s="29"/>
      <c r="AF601" s="29"/>
    </row>
    <row r="602" ht="23.25" customHeight="1">
      <c r="A602" s="29"/>
      <c r="B602" s="29"/>
      <c r="C602" s="29"/>
      <c r="D602" s="2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60"/>
      <c r="U602" s="160"/>
      <c r="V602" s="160"/>
      <c r="W602" s="160"/>
      <c r="X602" s="160"/>
      <c r="Y602" s="160"/>
      <c r="Z602" s="29"/>
      <c r="AA602" s="29"/>
      <c r="AB602" s="29"/>
      <c r="AC602" s="29"/>
      <c r="AD602" s="29"/>
      <c r="AE602" s="29"/>
      <c r="AF602" s="29"/>
    </row>
    <row r="603" ht="23.25" customHeight="1">
      <c r="A603" s="29"/>
      <c r="B603" s="29"/>
      <c r="C603" s="29"/>
      <c r="D603" s="2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60"/>
      <c r="U603" s="160"/>
      <c r="V603" s="160"/>
      <c r="W603" s="160"/>
      <c r="X603" s="160"/>
      <c r="Y603" s="160"/>
      <c r="Z603" s="29"/>
      <c r="AA603" s="29"/>
      <c r="AB603" s="29"/>
      <c r="AC603" s="29"/>
      <c r="AD603" s="29"/>
      <c r="AE603" s="29"/>
      <c r="AF603" s="29"/>
    </row>
    <row r="604" ht="23.25" customHeight="1">
      <c r="A604" s="29"/>
      <c r="B604" s="29"/>
      <c r="C604" s="29"/>
      <c r="D604" s="2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60"/>
      <c r="U604" s="160"/>
      <c r="V604" s="160"/>
      <c r="W604" s="160"/>
      <c r="X604" s="160"/>
      <c r="Y604" s="160"/>
      <c r="Z604" s="29"/>
      <c r="AA604" s="29"/>
      <c r="AB604" s="29"/>
      <c r="AC604" s="29"/>
      <c r="AD604" s="29"/>
      <c r="AE604" s="29"/>
      <c r="AF604" s="29"/>
    </row>
    <row r="605" ht="23.25" customHeight="1">
      <c r="A605" s="29"/>
      <c r="B605" s="29"/>
      <c r="C605" s="29"/>
      <c r="D605" s="2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60"/>
      <c r="U605" s="160"/>
      <c r="V605" s="160"/>
      <c r="W605" s="160"/>
      <c r="X605" s="160"/>
      <c r="Y605" s="160"/>
      <c r="Z605" s="29"/>
      <c r="AA605" s="29"/>
      <c r="AB605" s="29"/>
      <c r="AC605" s="29"/>
      <c r="AD605" s="29"/>
      <c r="AE605" s="29"/>
      <c r="AF605" s="29"/>
    </row>
    <row r="606" ht="23.25" customHeight="1">
      <c r="A606" s="29"/>
      <c r="B606" s="29"/>
      <c r="C606" s="29"/>
      <c r="D606" s="2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60"/>
      <c r="U606" s="160"/>
      <c r="V606" s="160"/>
      <c r="W606" s="160"/>
      <c r="X606" s="160"/>
      <c r="Y606" s="160"/>
      <c r="Z606" s="29"/>
      <c r="AA606" s="29"/>
      <c r="AB606" s="29"/>
      <c r="AC606" s="29"/>
      <c r="AD606" s="29"/>
      <c r="AE606" s="29"/>
      <c r="AF606" s="29"/>
    </row>
    <row r="607" ht="23.25" customHeight="1">
      <c r="A607" s="29"/>
      <c r="B607" s="29"/>
      <c r="C607" s="29"/>
      <c r="D607" s="2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60"/>
      <c r="U607" s="160"/>
      <c r="V607" s="160"/>
      <c r="W607" s="160"/>
      <c r="X607" s="160"/>
      <c r="Y607" s="160"/>
      <c r="Z607" s="29"/>
      <c r="AA607" s="29"/>
      <c r="AB607" s="29"/>
      <c r="AC607" s="29"/>
      <c r="AD607" s="29"/>
      <c r="AE607" s="29"/>
      <c r="AF607" s="29"/>
    </row>
    <row r="608" ht="23.25" customHeight="1">
      <c r="A608" s="29"/>
      <c r="B608" s="29"/>
      <c r="C608" s="29"/>
      <c r="D608" s="2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60"/>
      <c r="U608" s="160"/>
      <c r="V608" s="160"/>
      <c r="W608" s="160"/>
      <c r="X608" s="160"/>
      <c r="Y608" s="160"/>
      <c r="Z608" s="29"/>
      <c r="AA608" s="29"/>
      <c r="AB608" s="29"/>
      <c r="AC608" s="29"/>
      <c r="AD608" s="29"/>
      <c r="AE608" s="29"/>
      <c r="AF608" s="29"/>
    </row>
    <row r="609" ht="23.25" customHeight="1">
      <c r="A609" s="29"/>
      <c r="B609" s="29"/>
      <c r="C609" s="29"/>
      <c r="D609" s="2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60"/>
      <c r="U609" s="160"/>
      <c r="V609" s="160"/>
      <c r="W609" s="160"/>
      <c r="X609" s="160"/>
      <c r="Y609" s="160"/>
      <c r="Z609" s="29"/>
      <c r="AA609" s="29"/>
      <c r="AB609" s="29"/>
      <c r="AC609" s="29"/>
      <c r="AD609" s="29"/>
      <c r="AE609" s="29"/>
      <c r="AF609" s="29"/>
    </row>
    <row r="610" ht="23.25" customHeight="1">
      <c r="A610" s="29"/>
      <c r="B610" s="29"/>
      <c r="C610" s="29"/>
      <c r="D610" s="2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60"/>
      <c r="U610" s="160"/>
      <c r="V610" s="160"/>
      <c r="W610" s="160"/>
      <c r="X610" s="160"/>
      <c r="Y610" s="160"/>
      <c r="Z610" s="29"/>
      <c r="AA610" s="29"/>
      <c r="AB610" s="29"/>
      <c r="AC610" s="29"/>
      <c r="AD610" s="29"/>
      <c r="AE610" s="29"/>
      <c r="AF610" s="29"/>
    </row>
    <row r="611" ht="23.25" customHeight="1">
      <c r="A611" s="29"/>
      <c r="B611" s="29"/>
      <c r="C611" s="29"/>
      <c r="D611" s="2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60"/>
      <c r="U611" s="160"/>
      <c r="V611" s="160"/>
      <c r="W611" s="160"/>
      <c r="X611" s="160"/>
      <c r="Y611" s="160"/>
      <c r="Z611" s="29"/>
      <c r="AA611" s="29"/>
      <c r="AB611" s="29"/>
      <c r="AC611" s="29"/>
      <c r="AD611" s="29"/>
      <c r="AE611" s="29"/>
      <c r="AF611" s="29"/>
    </row>
    <row r="612" ht="23.25" customHeight="1">
      <c r="A612" s="29"/>
      <c r="B612" s="29"/>
      <c r="C612" s="29"/>
      <c r="D612" s="2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60"/>
      <c r="U612" s="160"/>
      <c r="V612" s="160"/>
      <c r="W612" s="160"/>
      <c r="X612" s="160"/>
      <c r="Y612" s="160"/>
      <c r="Z612" s="29"/>
      <c r="AA612" s="29"/>
      <c r="AB612" s="29"/>
      <c r="AC612" s="29"/>
      <c r="AD612" s="29"/>
      <c r="AE612" s="29"/>
      <c r="AF612" s="29"/>
    </row>
    <row r="613" ht="23.25" customHeight="1">
      <c r="A613" s="29"/>
      <c r="B613" s="29"/>
      <c r="C613" s="29"/>
      <c r="D613" s="2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60"/>
      <c r="U613" s="160"/>
      <c r="V613" s="160"/>
      <c r="W613" s="160"/>
      <c r="X613" s="160"/>
      <c r="Y613" s="160"/>
      <c r="Z613" s="29"/>
      <c r="AA613" s="29"/>
      <c r="AB613" s="29"/>
      <c r="AC613" s="29"/>
      <c r="AD613" s="29"/>
      <c r="AE613" s="29"/>
      <c r="AF613" s="29"/>
    </row>
    <row r="614" ht="23.25" customHeight="1">
      <c r="A614" s="29"/>
      <c r="B614" s="29"/>
      <c r="C614" s="29"/>
      <c r="D614" s="2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60"/>
      <c r="U614" s="160"/>
      <c r="V614" s="160"/>
      <c r="W614" s="160"/>
      <c r="X614" s="160"/>
      <c r="Y614" s="160"/>
      <c r="Z614" s="29"/>
      <c r="AA614" s="29"/>
      <c r="AB614" s="29"/>
      <c r="AC614" s="29"/>
      <c r="AD614" s="29"/>
      <c r="AE614" s="29"/>
      <c r="AF614" s="29"/>
    </row>
    <row r="615" ht="23.25" customHeight="1">
      <c r="A615" s="29"/>
      <c r="B615" s="29"/>
      <c r="C615" s="29"/>
      <c r="D615" s="2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60"/>
      <c r="U615" s="160"/>
      <c r="V615" s="160"/>
      <c r="W615" s="160"/>
      <c r="X615" s="160"/>
      <c r="Y615" s="160"/>
      <c r="Z615" s="29"/>
      <c r="AA615" s="29"/>
      <c r="AB615" s="29"/>
      <c r="AC615" s="29"/>
      <c r="AD615" s="29"/>
      <c r="AE615" s="29"/>
      <c r="AF615" s="29"/>
    </row>
    <row r="616" ht="23.25" customHeight="1">
      <c r="A616" s="29"/>
      <c r="B616" s="29"/>
      <c r="C616" s="29"/>
      <c r="D616" s="2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60"/>
      <c r="U616" s="160"/>
      <c r="V616" s="160"/>
      <c r="W616" s="160"/>
      <c r="X616" s="160"/>
      <c r="Y616" s="160"/>
      <c r="Z616" s="29"/>
      <c r="AA616" s="29"/>
      <c r="AB616" s="29"/>
      <c r="AC616" s="29"/>
      <c r="AD616" s="29"/>
      <c r="AE616" s="29"/>
      <c r="AF616" s="29"/>
    </row>
    <row r="617" ht="23.25" customHeight="1">
      <c r="A617" s="29"/>
      <c r="B617" s="29"/>
      <c r="C617" s="29"/>
      <c r="D617" s="2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60"/>
      <c r="U617" s="160"/>
      <c r="V617" s="160"/>
      <c r="W617" s="160"/>
      <c r="X617" s="160"/>
      <c r="Y617" s="160"/>
      <c r="Z617" s="29"/>
      <c r="AA617" s="29"/>
      <c r="AB617" s="29"/>
      <c r="AC617" s="29"/>
      <c r="AD617" s="29"/>
      <c r="AE617" s="29"/>
      <c r="AF617" s="29"/>
    </row>
    <row r="618" ht="23.25" customHeight="1">
      <c r="A618" s="29"/>
      <c r="B618" s="29"/>
      <c r="C618" s="29"/>
      <c r="D618" s="2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60"/>
      <c r="U618" s="160"/>
      <c r="V618" s="160"/>
      <c r="W618" s="160"/>
      <c r="X618" s="160"/>
      <c r="Y618" s="160"/>
      <c r="Z618" s="29"/>
      <c r="AA618" s="29"/>
      <c r="AB618" s="29"/>
      <c r="AC618" s="29"/>
      <c r="AD618" s="29"/>
      <c r="AE618" s="29"/>
      <c r="AF618" s="29"/>
    </row>
    <row r="619" ht="23.25" customHeight="1">
      <c r="A619" s="29"/>
      <c r="B619" s="29"/>
      <c r="C619" s="29"/>
      <c r="D619" s="2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60"/>
      <c r="U619" s="160"/>
      <c r="V619" s="160"/>
      <c r="W619" s="160"/>
      <c r="X619" s="160"/>
      <c r="Y619" s="160"/>
      <c r="Z619" s="29"/>
      <c r="AA619" s="29"/>
      <c r="AB619" s="29"/>
      <c r="AC619" s="29"/>
      <c r="AD619" s="29"/>
      <c r="AE619" s="29"/>
      <c r="AF619" s="29"/>
    </row>
    <row r="620" ht="23.25" customHeight="1">
      <c r="A620" s="29"/>
      <c r="B620" s="29"/>
      <c r="C620" s="29"/>
      <c r="D620" s="2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60"/>
      <c r="U620" s="160"/>
      <c r="V620" s="160"/>
      <c r="W620" s="160"/>
      <c r="X620" s="160"/>
      <c r="Y620" s="160"/>
      <c r="Z620" s="29"/>
      <c r="AA620" s="29"/>
      <c r="AB620" s="29"/>
      <c r="AC620" s="29"/>
      <c r="AD620" s="29"/>
      <c r="AE620" s="29"/>
      <c r="AF620" s="29"/>
    </row>
    <row r="621" ht="23.25" customHeight="1">
      <c r="A621" s="29"/>
      <c r="B621" s="29"/>
      <c r="C621" s="29"/>
      <c r="D621" s="2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60"/>
      <c r="U621" s="160"/>
      <c r="V621" s="160"/>
      <c r="W621" s="160"/>
      <c r="X621" s="160"/>
      <c r="Y621" s="160"/>
      <c r="Z621" s="29"/>
      <c r="AA621" s="29"/>
      <c r="AB621" s="29"/>
      <c r="AC621" s="29"/>
      <c r="AD621" s="29"/>
      <c r="AE621" s="29"/>
      <c r="AF621" s="29"/>
    </row>
    <row r="622" ht="23.25" customHeight="1">
      <c r="A622" s="29"/>
      <c r="B622" s="29"/>
      <c r="C622" s="29"/>
      <c r="D622" s="2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60"/>
      <c r="U622" s="160"/>
      <c r="V622" s="160"/>
      <c r="W622" s="160"/>
      <c r="X622" s="160"/>
      <c r="Y622" s="160"/>
      <c r="Z622" s="29"/>
      <c r="AA622" s="29"/>
      <c r="AB622" s="29"/>
      <c r="AC622" s="29"/>
      <c r="AD622" s="29"/>
      <c r="AE622" s="29"/>
      <c r="AF622" s="29"/>
    </row>
    <row r="623" ht="23.25" customHeight="1">
      <c r="A623" s="29"/>
      <c r="B623" s="29"/>
      <c r="C623" s="29"/>
      <c r="D623" s="2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60"/>
      <c r="U623" s="160"/>
      <c r="V623" s="160"/>
      <c r="W623" s="160"/>
      <c r="X623" s="160"/>
      <c r="Y623" s="160"/>
      <c r="Z623" s="29"/>
      <c r="AA623" s="29"/>
      <c r="AB623" s="29"/>
      <c r="AC623" s="29"/>
      <c r="AD623" s="29"/>
      <c r="AE623" s="29"/>
      <c r="AF623" s="29"/>
    </row>
    <row r="624" ht="23.25" customHeight="1">
      <c r="A624" s="29"/>
      <c r="B624" s="29"/>
      <c r="C624" s="29"/>
      <c r="D624" s="2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60"/>
      <c r="U624" s="160"/>
      <c r="V624" s="160"/>
      <c r="W624" s="160"/>
      <c r="X624" s="160"/>
      <c r="Y624" s="160"/>
      <c r="Z624" s="29"/>
      <c r="AA624" s="29"/>
      <c r="AB624" s="29"/>
      <c r="AC624" s="29"/>
      <c r="AD624" s="29"/>
      <c r="AE624" s="29"/>
      <c r="AF624" s="29"/>
    </row>
    <row r="625" ht="23.25" customHeight="1">
      <c r="A625" s="29"/>
      <c r="B625" s="29"/>
      <c r="C625" s="29"/>
      <c r="D625" s="2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60"/>
      <c r="U625" s="160"/>
      <c r="V625" s="160"/>
      <c r="W625" s="160"/>
      <c r="X625" s="160"/>
      <c r="Y625" s="160"/>
      <c r="Z625" s="29"/>
      <c r="AA625" s="29"/>
      <c r="AB625" s="29"/>
      <c r="AC625" s="29"/>
      <c r="AD625" s="29"/>
      <c r="AE625" s="29"/>
      <c r="AF625" s="29"/>
    </row>
    <row r="626" ht="23.25" customHeight="1">
      <c r="A626" s="29"/>
      <c r="B626" s="29"/>
      <c r="C626" s="29"/>
      <c r="D626" s="2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60"/>
      <c r="U626" s="160"/>
      <c r="V626" s="160"/>
      <c r="W626" s="160"/>
      <c r="X626" s="160"/>
      <c r="Y626" s="160"/>
      <c r="Z626" s="29"/>
      <c r="AA626" s="29"/>
      <c r="AB626" s="29"/>
      <c r="AC626" s="29"/>
      <c r="AD626" s="29"/>
      <c r="AE626" s="29"/>
      <c r="AF626" s="29"/>
    </row>
    <row r="627" ht="23.25" customHeight="1">
      <c r="A627" s="29"/>
      <c r="B627" s="29"/>
      <c r="C627" s="29"/>
      <c r="D627" s="2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60"/>
      <c r="U627" s="160"/>
      <c r="V627" s="160"/>
      <c r="W627" s="160"/>
      <c r="X627" s="160"/>
      <c r="Y627" s="160"/>
      <c r="Z627" s="29"/>
      <c r="AA627" s="29"/>
      <c r="AB627" s="29"/>
      <c r="AC627" s="29"/>
      <c r="AD627" s="29"/>
      <c r="AE627" s="29"/>
      <c r="AF627" s="29"/>
    </row>
    <row r="628" ht="23.25" customHeight="1">
      <c r="A628" s="29"/>
      <c r="B628" s="29"/>
      <c r="C628" s="29"/>
      <c r="D628" s="2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60"/>
      <c r="U628" s="160"/>
      <c r="V628" s="160"/>
      <c r="W628" s="160"/>
      <c r="X628" s="160"/>
      <c r="Y628" s="160"/>
      <c r="Z628" s="29"/>
      <c r="AA628" s="29"/>
      <c r="AB628" s="29"/>
      <c r="AC628" s="29"/>
      <c r="AD628" s="29"/>
      <c r="AE628" s="29"/>
      <c r="AF628" s="29"/>
    </row>
    <row r="629" ht="23.25" customHeight="1">
      <c r="A629" s="29"/>
      <c r="B629" s="29"/>
      <c r="C629" s="29"/>
      <c r="D629" s="2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60"/>
      <c r="U629" s="160"/>
      <c r="V629" s="160"/>
      <c r="W629" s="160"/>
      <c r="X629" s="160"/>
      <c r="Y629" s="160"/>
      <c r="Z629" s="29"/>
      <c r="AA629" s="29"/>
      <c r="AB629" s="29"/>
      <c r="AC629" s="29"/>
      <c r="AD629" s="29"/>
      <c r="AE629" s="29"/>
      <c r="AF629" s="29"/>
    </row>
    <row r="630" ht="23.25" customHeight="1">
      <c r="A630" s="29"/>
      <c r="B630" s="29"/>
      <c r="C630" s="29"/>
      <c r="D630" s="2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60"/>
      <c r="U630" s="160"/>
      <c r="V630" s="160"/>
      <c r="W630" s="160"/>
      <c r="X630" s="160"/>
      <c r="Y630" s="160"/>
      <c r="Z630" s="29"/>
      <c r="AA630" s="29"/>
      <c r="AB630" s="29"/>
      <c r="AC630" s="29"/>
      <c r="AD630" s="29"/>
      <c r="AE630" s="29"/>
      <c r="AF630" s="29"/>
    </row>
    <row r="631" ht="23.25" customHeight="1">
      <c r="A631" s="29"/>
      <c r="B631" s="29"/>
      <c r="C631" s="29"/>
      <c r="D631" s="2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60"/>
      <c r="U631" s="160"/>
      <c r="V631" s="160"/>
      <c r="W631" s="160"/>
      <c r="X631" s="160"/>
      <c r="Y631" s="160"/>
      <c r="Z631" s="29"/>
      <c r="AA631" s="29"/>
      <c r="AB631" s="29"/>
      <c r="AC631" s="29"/>
      <c r="AD631" s="29"/>
      <c r="AE631" s="29"/>
      <c r="AF631" s="29"/>
    </row>
    <row r="632" ht="23.25" customHeight="1">
      <c r="A632" s="29"/>
      <c r="B632" s="29"/>
      <c r="C632" s="29"/>
      <c r="D632" s="2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60"/>
      <c r="U632" s="160"/>
      <c r="V632" s="160"/>
      <c r="W632" s="160"/>
      <c r="X632" s="160"/>
      <c r="Y632" s="160"/>
      <c r="Z632" s="29"/>
      <c r="AA632" s="29"/>
      <c r="AB632" s="29"/>
      <c r="AC632" s="29"/>
      <c r="AD632" s="29"/>
      <c r="AE632" s="29"/>
      <c r="AF632" s="29"/>
    </row>
    <row r="633" ht="23.25" customHeight="1">
      <c r="A633" s="29"/>
      <c r="B633" s="29"/>
      <c r="C633" s="29"/>
      <c r="D633" s="2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60"/>
      <c r="U633" s="160"/>
      <c r="V633" s="160"/>
      <c r="W633" s="160"/>
      <c r="X633" s="160"/>
      <c r="Y633" s="160"/>
      <c r="Z633" s="29"/>
      <c r="AA633" s="29"/>
      <c r="AB633" s="29"/>
      <c r="AC633" s="29"/>
      <c r="AD633" s="29"/>
      <c r="AE633" s="29"/>
      <c r="AF633" s="29"/>
    </row>
    <row r="634" ht="23.25" customHeight="1">
      <c r="A634" s="29"/>
      <c r="B634" s="29"/>
      <c r="C634" s="29"/>
      <c r="D634" s="2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60"/>
      <c r="U634" s="160"/>
      <c r="V634" s="160"/>
      <c r="W634" s="160"/>
      <c r="X634" s="160"/>
      <c r="Y634" s="160"/>
      <c r="Z634" s="29"/>
      <c r="AA634" s="29"/>
      <c r="AB634" s="29"/>
      <c r="AC634" s="29"/>
      <c r="AD634" s="29"/>
      <c r="AE634" s="29"/>
      <c r="AF634" s="29"/>
    </row>
    <row r="635" ht="23.25" customHeight="1">
      <c r="A635" s="29"/>
      <c r="B635" s="29"/>
      <c r="C635" s="29"/>
      <c r="D635" s="2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60"/>
      <c r="U635" s="160"/>
      <c r="V635" s="160"/>
      <c r="W635" s="160"/>
      <c r="X635" s="160"/>
      <c r="Y635" s="160"/>
      <c r="Z635" s="29"/>
      <c r="AA635" s="29"/>
      <c r="AB635" s="29"/>
      <c r="AC635" s="29"/>
      <c r="AD635" s="29"/>
      <c r="AE635" s="29"/>
      <c r="AF635" s="29"/>
    </row>
    <row r="636" ht="23.25" customHeight="1">
      <c r="A636" s="29"/>
      <c r="B636" s="29"/>
      <c r="C636" s="29"/>
      <c r="D636" s="2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60"/>
      <c r="U636" s="160"/>
      <c r="V636" s="160"/>
      <c r="W636" s="160"/>
      <c r="X636" s="160"/>
      <c r="Y636" s="160"/>
      <c r="Z636" s="29"/>
      <c r="AA636" s="29"/>
      <c r="AB636" s="29"/>
      <c r="AC636" s="29"/>
      <c r="AD636" s="29"/>
      <c r="AE636" s="29"/>
      <c r="AF636" s="29"/>
    </row>
    <row r="637" ht="23.25" customHeight="1">
      <c r="A637" s="29"/>
      <c r="B637" s="29"/>
      <c r="C637" s="29"/>
      <c r="D637" s="2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60"/>
      <c r="U637" s="160"/>
      <c r="V637" s="160"/>
      <c r="W637" s="160"/>
      <c r="X637" s="160"/>
      <c r="Y637" s="160"/>
      <c r="Z637" s="29"/>
      <c r="AA637" s="29"/>
      <c r="AB637" s="29"/>
      <c r="AC637" s="29"/>
      <c r="AD637" s="29"/>
      <c r="AE637" s="29"/>
      <c r="AF637" s="29"/>
    </row>
    <row r="638" ht="23.25" customHeight="1">
      <c r="A638" s="29"/>
      <c r="B638" s="29"/>
      <c r="C638" s="29"/>
      <c r="D638" s="2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60"/>
      <c r="U638" s="160"/>
      <c r="V638" s="160"/>
      <c r="W638" s="160"/>
      <c r="X638" s="160"/>
      <c r="Y638" s="160"/>
      <c r="Z638" s="29"/>
      <c r="AA638" s="29"/>
      <c r="AB638" s="29"/>
      <c r="AC638" s="29"/>
      <c r="AD638" s="29"/>
      <c r="AE638" s="29"/>
      <c r="AF638" s="29"/>
    </row>
    <row r="639" ht="23.25" customHeight="1">
      <c r="A639" s="29"/>
      <c r="B639" s="29"/>
      <c r="C639" s="29"/>
      <c r="D639" s="2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60"/>
      <c r="U639" s="160"/>
      <c r="V639" s="160"/>
      <c r="W639" s="160"/>
      <c r="X639" s="160"/>
      <c r="Y639" s="160"/>
      <c r="Z639" s="29"/>
      <c r="AA639" s="29"/>
      <c r="AB639" s="29"/>
      <c r="AC639" s="29"/>
      <c r="AD639" s="29"/>
      <c r="AE639" s="29"/>
      <c r="AF639" s="29"/>
    </row>
    <row r="640" ht="23.25" customHeight="1">
      <c r="A640" s="29"/>
      <c r="B640" s="29"/>
      <c r="C640" s="29"/>
      <c r="D640" s="2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60"/>
      <c r="U640" s="160"/>
      <c r="V640" s="160"/>
      <c r="W640" s="160"/>
      <c r="X640" s="160"/>
      <c r="Y640" s="160"/>
      <c r="Z640" s="29"/>
      <c r="AA640" s="29"/>
      <c r="AB640" s="29"/>
      <c r="AC640" s="29"/>
      <c r="AD640" s="29"/>
      <c r="AE640" s="29"/>
      <c r="AF640" s="29"/>
    </row>
    <row r="641" ht="23.25" customHeight="1">
      <c r="A641" s="29"/>
      <c r="B641" s="29"/>
      <c r="C641" s="29"/>
      <c r="D641" s="2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60"/>
      <c r="U641" s="160"/>
      <c r="V641" s="160"/>
      <c r="W641" s="160"/>
      <c r="X641" s="160"/>
      <c r="Y641" s="160"/>
      <c r="Z641" s="29"/>
      <c r="AA641" s="29"/>
      <c r="AB641" s="29"/>
      <c r="AC641" s="29"/>
      <c r="AD641" s="29"/>
      <c r="AE641" s="29"/>
      <c r="AF641" s="29"/>
    </row>
    <row r="642" ht="23.25" customHeight="1">
      <c r="A642" s="29"/>
      <c r="B642" s="29"/>
      <c r="C642" s="29"/>
      <c r="D642" s="2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60"/>
      <c r="U642" s="160"/>
      <c r="V642" s="160"/>
      <c r="W642" s="160"/>
      <c r="X642" s="160"/>
      <c r="Y642" s="160"/>
      <c r="Z642" s="29"/>
      <c r="AA642" s="29"/>
      <c r="AB642" s="29"/>
      <c r="AC642" s="29"/>
      <c r="AD642" s="29"/>
      <c r="AE642" s="29"/>
      <c r="AF642" s="29"/>
    </row>
    <row r="643" ht="23.25" customHeight="1">
      <c r="A643" s="29"/>
      <c r="B643" s="29"/>
      <c r="C643" s="29"/>
      <c r="D643" s="2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60"/>
      <c r="U643" s="160"/>
      <c r="V643" s="160"/>
      <c r="W643" s="160"/>
      <c r="X643" s="160"/>
      <c r="Y643" s="160"/>
      <c r="Z643" s="29"/>
      <c r="AA643" s="29"/>
      <c r="AB643" s="29"/>
      <c r="AC643" s="29"/>
      <c r="AD643" s="29"/>
      <c r="AE643" s="29"/>
      <c r="AF643" s="29"/>
    </row>
    <row r="644" ht="23.25" customHeight="1">
      <c r="A644" s="29"/>
      <c r="B644" s="29"/>
      <c r="C644" s="29"/>
      <c r="D644" s="2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60"/>
      <c r="U644" s="160"/>
      <c r="V644" s="160"/>
      <c r="W644" s="160"/>
      <c r="X644" s="160"/>
      <c r="Y644" s="160"/>
      <c r="Z644" s="29"/>
      <c r="AA644" s="29"/>
      <c r="AB644" s="29"/>
      <c r="AC644" s="29"/>
      <c r="AD644" s="29"/>
      <c r="AE644" s="29"/>
      <c r="AF644" s="29"/>
    </row>
    <row r="645" ht="23.25" customHeight="1">
      <c r="A645" s="29"/>
      <c r="B645" s="29"/>
      <c r="C645" s="29"/>
      <c r="D645" s="2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60"/>
      <c r="U645" s="160"/>
      <c r="V645" s="160"/>
      <c r="W645" s="160"/>
      <c r="X645" s="160"/>
      <c r="Y645" s="160"/>
      <c r="Z645" s="29"/>
      <c r="AA645" s="29"/>
      <c r="AB645" s="29"/>
      <c r="AC645" s="29"/>
      <c r="AD645" s="29"/>
      <c r="AE645" s="29"/>
      <c r="AF645" s="29"/>
    </row>
    <row r="646" ht="23.25" customHeight="1">
      <c r="A646" s="29"/>
      <c r="B646" s="29"/>
      <c r="C646" s="29"/>
      <c r="D646" s="2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60"/>
      <c r="U646" s="160"/>
      <c r="V646" s="160"/>
      <c r="W646" s="160"/>
      <c r="X646" s="160"/>
      <c r="Y646" s="160"/>
      <c r="Z646" s="29"/>
      <c r="AA646" s="29"/>
      <c r="AB646" s="29"/>
      <c r="AC646" s="29"/>
      <c r="AD646" s="29"/>
      <c r="AE646" s="29"/>
      <c r="AF646" s="29"/>
    </row>
    <row r="647" ht="23.25" customHeight="1">
      <c r="A647" s="29"/>
      <c r="B647" s="29"/>
      <c r="C647" s="29"/>
      <c r="D647" s="2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60"/>
      <c r="U647" s="160"/>
      <c r="V647" s="160"/>
      <c r="W647" s="160"/>
      <c r="X647" s="160"/>
      <c r="Y647" s="160"/>
      <c r="Z647" s="29"/>
      <c r="AA647" s="29"/>
      <c r="AB647" s="29"/>
      <c r="AC647" s="29"/>
      <c r="AD647" s="29"/>
      <c r="AE647" s="29"/>
      <c r="AF647" s="29"/>
    </row>
    <row r="648" ht="23.25" customHeight="1">
      <c r="A648" s="29"/>
      <c r="B648" s="29"/>
      <c r="C648" s="29"/>
      <c r="D648" s="2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60"/>
      <c r="U648" s="160"/>
      <c r="V648" s="160"/>
      <c r="W648" s="160"/>
      <c r="X648" s="160"/>
      <c r="Y648" s="160"/>
      <c r="Z648" s="29"/>
      <c r="AA648" s="29"/>
      <c r="AB648" s="29"/>
      <c r="AC648" s="29"/>
      <c r="AD648" s="29"/>
      <c r="AE648" s="29"/>
      <c r="AF648" s="29"/>
    </row>
    <row r="649" ht="23.25" customHeight="1">
      <c r="A649" s="29"/>
      <c r="B649" s="29"/>
      <c r="C649" s="29"/>
      <c r="D649" s="2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60"/>
      <c r="U649" s="160"/>
      <c r="V649" s="160"/>
      <c r="W649" s="160"/>
      <c r="X649" s="160"/>
      <c r="Y649" s="160"/>
      <c r="Z649" s="29"/>
      <c r="AA649" s="29"/>
      <c r="AB649" s="29"/>
      <c r="AC649" s="29"/>
      <c r="AD649" s="29"/>
      <c r="AE649" s="29"/>
      <c r="AF649" s="29"/>
    </row>
    <row r="650" ht="23.25" customHeight="1">
      <c r="A650" s="29"/>
      <c r="B650" s="29"/>
      <c r="C650" s="29"/>
      <c r="D650" s="2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60"/>
      <c r="U650" s="160"/>
      <c r="V650" s="160"/>
      <c r="W650" s="160"/>
      <c r="X650" s="160"/>
      <c r="Y650" s="160"/>
      <c r="Z650" s="29"/>
      <c r="AA650" s="29"/>
      <c r="AB650" s="29"/>
      <c r="AC650" s="29"/>
      <c r="AD650" s="29"/>
      <c r="AE650" s="29"/>
      <c r="AF650" s="29"/>
    </row>
    <row r="651" ht="23.25" customHeight="1">
      <c r="A651" s="29"/>
      <c r="B651" s="29"/>
      <c r="C651" s="29"/>
      <c r="D651" s="2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60"/>
      <c r="U651" s="160"/>
      <c r="V651" s="160"/>
      <c r="W651" s="160"/>
      <c r="X651" s="160"/>
      <c r="Y651" s="160"/>
      <c r="Z651" s="29"/>
      <c r="AA651" s="29"/>
      <c r="AB651" s="29"/>
      <c r="AC651" s="29"/>
      <c r="AD651" s="29"/>
      <c r="AE651" s="29"/>
      <c r="AF651" s="29"/>
    </row>
    <row r="652" ht="23.25" customHeight="1">
      <c r="A652" s="29"/>
      <c r="B652" s="29"/>
      <c r="C652" s="29"/>
      <c r="D652" s="2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60"/>
      <c r="U652" s="160"/>
      <c r="V652" s="160"/>
      <c r="W652" s="160"/>
      <c r="X652" s="160"/>
      <c r="Y652" s="160"/>
      <c r="Z652" s="29"/>
      <c r="AA652" s="29"/>
      <c r="AB652" s="29"/>
      <c r="AC652" s="29"/>
      <c r="AD652" s="29"/>
      <c r="AE652" s="29"/>
      <c r="AF652" s="29"/>
    </row>
    <row r="653" ht="23.25" customHeight="1">
      <c r="A653" s="29"/>
      <c r="B653" s="29"/>
      <c r="C653" s="29"/>
      <c r="D653" s="2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60"/>
      <c r="U653" s="160"/>
      <c r="V653" s="160"/>
      <c r="W653" s="160"/>
      <c r="X653" s="160"/>
      <c r="Y653" s="160"/>
      <c r="Z653" s="29"/>
      <c r="AA653" s="29"/>
      <c r="AB653" s="29"/>
      <c r="AC653" s="29"/>
      <c r="AD653" s="29"/>
      <c r="AE653" s="29"/>
      <c r="AF653" s="29"/>
    </row>
    <row r="654" ht="23.25" customHeight="1">
      <c r="A654" s="29"/>
      <c r="B654" s="29"/>
      <c r="C654" s="29"/>
      <c r="D654" s="2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60"/>
      <c r="U654" s="160"/>
      <c r="V654" s="160"/>
      <c r="W654" s="160"/>
      <c r="X654" s="160"/>
      <c r="Y654" s="160"/>
      <c r="Z654" s="29"/>
      <c r="AA654" s="29"/>
      <c r="AB654" s="29"/>
      <c r="AC654" s="29"/>
      <c r="AD654" s="29"/>
      <c r="AE654" s="29"/>
      <c r="AF654" s="29"/>
    </row>
    <row r="655" ht="23.25" customHeight="1">
      <c r="A655" s="29"/>
      <c r="B655" s="29"/>
      <c r="C655" s="29"/>
      <c r="D655" s="2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60"/>
      <c r="U655" s="160"/>
      <c r="V655" s="160"/>
      <c r="W655" s="160"/>
      <c r="X655" s="160"/>
      <c r="Y655" s="160"/>
      <c r="Z655" s="29"/>
      <c r="AA655" s="29"/>
      <c r="AB655" s="29"/>
      <c r="AC655" s="29"/>
      <c r="AD655" s="29"/>
      <c r="AE655" s="29"/>
      <c r="AF655" s="29"/>
    </row>
    <row r="656" ht="23.25" customHeight="1">
      <c r="A656" s="29"/>
      <c r="B656" s="29"/>
      <c r="C656" s="29"/>
      <c r="D656" s="2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60"/>
      <c r="U656" s="160"/>
      <c r="V656" s="160"/>
      <c r="W656" s="160"/>
      <c r="X656" s="160"/>
      <c r="Y656" s="160"/>
      <c r="Z656" s="29"/>
      <c r="AA656" s="29"/>
      <c r="AB656" s="29"/>
      <c r="AC656" s="29"/>
      <c r="AD656" s="29"/>
      <c r="AE656" s="29"/>
      <c r="AF656" s="29"/>
    </row>
    <row r="657" ht="23.25" customHeight="1">
      <c r="A657" s="29"/>
      <c r="B657" s="29"/>
      <c r="C657" s="29"/>
      <c r="D657" s="2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60"/>
      <c r="U657" s="160"/>
      <c r="V657" s="160"/>
      <c r="W657" s="160"/>
      <c r="X657" s="160"/>
      <c r="Y657" s="160"/>
      <c r="Z657" s="29"/>
      <c r="AA657" s="29"/>
      <c r="AB657" s="29"/>
      <c r="AC657" s="29"/>
      <c r="AD657" s="29"/>
      <c r="AE657" s="29"/>
      <c r="AF657" s="29"/>
    </row>
    <row r="658" ht="23.25" customHeight="1">
      <c r="A658" s="29"/>
      <c r="B658" s="29"/>
      <c r="C658" s="29"/>
      <c r="D658" s="2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60"/>
      <c r="U658" s="160"/>
      <c r="V658" s="160"/>
      <c r="W658" s="160"/>
      <c r="X658" s="160"/>
      <c r="Y658" s="160"/>
      <c r="Z658" s="29"/>
      <c r="AA658" s="29"/>
      <c r="AB658" s="29"/>
      <c r="AC658" s="29"/>
      <c r="AD658" s="29"/>
      <c r="AE658" s="29"/>
      <c r="AF658" s="29"/>
    </row>
    <row r="659" ht="23.25" customHeight="1">
      <c r="A659" s="29"/>
      <c r="B659" s="29"/>
      <c r="C659" s="29"/>
      <c r="D659" s="2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60"/>
      <c r="U659" s="160"/>
      <c r="V659" s="160"/>
      <c r="W659" s="160"/>
      <c r="X659" s="160"/>
      <c r="Y659" s="160"/>
      <c r="Z659" s="29"/>
      <c r="AA659" s="29"/>
      <c r="AB659" s="29"/>
      <c r="AC659" s="29"/>
      <c r="AD659" s="29"/>
      <c r="AE659" s="29"/>
      <c r="AF659" s="29"/>
    </row>
    <row r="660" ht="23.25" customHeight="1">
      <c r="A660" s="29"/>
      <c r="B660" s="29"/>
      <c r="C660" s="29"/>
      <c r="D660" s="2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60"/>
      <c r="U660" s="160"/>
      <c r="V660" s="160"/>
      <c r="W660" s="160"/>
      <c r="X660" s="160"/>
      <c r="Y660" s="160"/>
      <c r="Z660" s="29"/>
      <c r="AA660" s="29"/>
      <c r="AB660" s="29"/>
      <c r="AC660" s="29"/>
      <c r="AD660" s="29"/>
      <c r="AE660" s="29"/>
      <c r="AF660" s="29"/>
    </row>
    <row r="661" ht="23.25" customHeight="1">
      <c r="A661" s="29"/>
      <c r="B661" s="29"/>
      <c r="C661" s="29"/>
      <c r="D661" s="2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60"/>
      <c r="U661" s="160"/>
      <c r="V661" s="160"/>
      <c r="W661" s="160"/>
      <c r="X661" s="160"/>
      <c r="Y661" s="160"/>
      <c r="Z661" s="29"/>
      <c r="AA661" s="29"/>
      <c r="AB661" s="29"/>
      <c r="AC661" s="29"/>
      <c r="AD661" s="29"/>
      <c r="AE661" s="29"/>
      <c r="AF661" s="29"/>
    </row>
    <row r="662" ht="23.25" customHeight="1">
      <c r="A662" s="29"/>
      <c r="B662" s="29"/>
      <c r="C662" s="29"/>
      <c r="D662" s="2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60"/>
      <c r="U662" s="160"/>
      <c r="V662" s="160"/>
      <c r="W662" s="160"/>
      <c r="X662" s="160"/>
      <c r="Y662" s="160"/>
      <c r="Z662" s="29"/>
      <c r="AA662" s="29"/>
      <c r="AB662" s="29"/>
      <c r="AC662" s="29"/>
      <c r="AD662" s="29"/>
      <c r="AE662" s="29"/>
      <c r="AF662" s="29"/>
    </row>
    <row r="663" ht="23.25" customHeight="1">
      <c r="A663" s="29"/>
      <c r="B663" s="29"/>
      <c r="C663" s="29"/>
      <c r="D663" s="2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60"/>
      <c r="U663" s="160"/>
      <c r="V663" s="160"/>
      <c r="W663" s="160"/>
      <c r="X663" s="160"/>
      <c r="Y663" s="160"/>
      <c r="Z663" s="29"/>
      <c r="AA663" s="29"/>
      <c r="AB663" s="29"/>
      <c r="AC663" s="29"/>
      <c r="AD663" s="29"/>
      <c r="AE663" s="29"/>
      <c r="AF663" s="29"/>
    </row>
    <row r="664" ht="23.25" customHeight="1">
      <c r="A664" s="29"/>
      <c r="B664" s="29"/>
      <c r="C664" s="29"/>
      <c r="D664" s="2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60"/>
      <c r="U664" s="160"/>
      <c r="V664" s="160"/>
      <c r="W664" s="160"/>
      <c r="X664" s="160"/>
      <c r="Y664" s="160"/>
      <c r="Z664" s="29"/>
      <c r="AA664" s="29"/>
      <c r="AB664" s="29"/>
      <c r="AC664" s="29"/>
      <c r="AD664" s="29"/>
      <c r="AE664" s="29"/>
      <c r="AF664" s="29"/>
    </row>
    <row r="665" ht="23.25" customHeight="1">
      <c r="A665" s="29"/>
      <c r="B665" s="29"/>
      <c r="C665" s="29"/>
      <c r="D665" s="2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60"/>
      <c r="U665" s="160"/>
      <c r="V665" s="160"/>
      <c r="W665" s="160"/>
      <c r="X665" s="160"/>
      <c r="Y665" s="160"/>
      <c r="Z665" s="29"/>
      <c r="AA665" s="29"/>
      <c r="AB665" s="29"/>
      <c r="AC665" s="29"/>
      <c r="AD665" s="29"/>
      <c r="AE665" s="29"/>
      <c r="AF665" s="29"/>
    </row>
    <row r="666" ht="23.25" customHeight="1">
      <c r="A666" s="29"/>
      <c r="B666" s="29"/>
      <c r="C666" s="29"/>
      <c r="D666" s="2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60"/>
      <c r="U666" s="160"/>
      <c r="V666" s="160"/>
      <c r="W666" s="160"/>
      <c r="X666" s="160"/>
      <c r="Y666" s="160"/>
      <c r="Z666" s="29"/>
      <c r="AA666" s="29"/>
      <c r="AB666" s="29"/>
      <c r="AC666" s="29"/>
      <c r="AD666" s="29"/>
      <c r="AE666" s="29"/>
      <c r="AF666" s="29"/>
    </row>
    <row r="667" ht="23.25" customHeight="1">
      <c r="A667" s="29"/>
      <c r="B667" s="29"/>
      <c r="C667" s="29"/>
      <c r="D667" s="2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60"/>
      <c r="U667" s="160"/>
      <c r="V667" s="160"/>
      <c r="W667" s="160"/>
      <c r="X667" s="160"/>
      <c r="Y667" s="160"/>
      <c r="Z667" s="29"/>
      <c r="AA667" s="29"/>
      <c r="AB667" s="29"/>
      <c r="AC667" s="29"/>
      <c r="AD667" s="29"/>
      <c r="AE667" s="29"/>
      <c r="AF667" s="29"/>
    </row>
    <row r="668" ht="23.25" customHeight="1">
      <c r="A668" s="29"/>
      <c r="B668" s="29"/>
      <c r="C668" s="29"/>
      <c r="D668" s="2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60"/>
      <c r="U668" s="160"/>
      <c r="V668" s="160"/>
      <c r="W668" s="160"/>
      <c r="X668" s="160"/>
      <c r="Y668" s="160"/>
      <c r="Z668" s="29"/>
      <c r="AA668" s="29"/>
      <c r="AB668" s="29"/>
      <c r="AC668" s="29"/>
      <c r="AD668" s="29"/>
      <c r="AE668" s="29"/>
      <c r="AF668" s="29"/>
    </row>
    <row r="669" ht="23.25" customHeight="1">
      <c r="A669" s="29"/>
      <c r="B669" s="29"/>
      <c r="C669" s="29"/>
      <c r="D669" s="2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60"/>
      <c r="U669" s="160"/>
      <c r="V669" s="160"/>
      <c r="W669" s="160"/>
      <c r="X669" s="160"/>
      <c r="Y669" s="160"/>
      <c r="Z669" s="29"/>
      <c r="AA669" s="29"/>
      <c r="AB669" s="29"/>
      <c r="AC669" s="29"/>
      <c r="AD669" s="29"/>
      <c r="AE669" s="29"/>
      <c r="AF669" s="29"/>
    </row>
    <row r="670" ht="23.25" customHeight="1">
      <c r="A670" s="29"/>
      <c r="B670" s="29"/>
      <c r="C670" s="29"/>
      <c r="D670" s="2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60"/>
      <c r="U670" s="160"/>
      <c r="V670" s="160"/>
      <c r="W670" s="160"/>
      <c r="X670" s="160"/>
      <c r="Y670" s="160"/>
      <c r="Z670" s="29"/>
      <c r="AA670" s="29"/>
      <c r="AB670" s="29"/>
      <c r="AC670" s="29"/>
      <c r="AD670" s="29"/>
      <c r="AE670" s="29"/>
      <c r="AF670" s="29"/>
    </row>
    <row r="671" ht="23.25" customHeight="1">
      <c r="A671" s="29"/>
      <c r="B671" s="29"/>
      <c r="C671" s="29"/>
      <c r="D671" s="2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60"/>
      <c r="U671" s="160"/>
      <c r="V671" s="160"/>
      <c r="W671" s="160"/>
      <c r="X671" s="160"/>
      <c r="Y671" s="160"/>
      <c r="Z671" s="29"/>
      <c r="AA671" s="29"/>
      <c r="AB671" s="29"/>
      <c r="AC671" s="29"/>
      <c r="AD671" s="29"/>
      <c r="AE671" s="29"/>
      <c r="AF671" s="29"/>
    </row>
    <row r="672" ht="23.25" customHeight="1">
      <c r="A672" s="29"/>
      <c r="B672" s="29"/>
      <c r="C672" s="29"/>
      <c r="D672" s="2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60"/>
      <c r="U672" s="160"/>
      <c r="V672" s="160"/>
      <c r="W672" s="160"/>
      <c r="X672" s="160"/>
      <c r="Y672" s="160"/>
      <c r="Z672" s="29"/>
      <c r="AA672" s="29"/>
      <c r="AB672" s="29"/>
      <c r="AC672" s="29"/>
      <c r="AD672" s="29"/>
      <c r="AE672" s="29"/>
      <c r="AF672" s="29"/>
    </row>
    <row r="673" ht="23.25" customHeight="1">
      <c r="A673" s="29"/>
      <c r="B673" s="29"/>
      <c r="C673" s="29"/>
      <c r="D673" s="2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60"/>
      <c r="U673" s="160"/>
      <c r="V673" s="160"/>
      <c r="W673" s="160"/>
      <c r="X673" s="160"/>
      <c r="Y673" s="160"/>
      <c r="Z673" s="29"/>
      <c r="AA673" s="29"/>
      <c r="AB673" s="29"/>
      <c r="AC673" s="29"/>
      <c r="AD673" s="29"/>
      <c r="AE673" s="29"/>
      <c r="AF673" s="29"/>
    </row>
    <row r="674" ht="23.25" customHeight="1">
      <c r="A674" s="29"/>
      <c r="B674" s="29"/>
      <c r="C674" s="29"/>
      <c r="D674" s="2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60"/>
      <c r="U674" s="160"/>
      <c r="V674" s="160"/>
      <c r="W674" s="160"/>
      <c r="X674" s="160"/>
      <c r="Y674" s="160"/>
      <c r="Z674" s="29"/>
      <c r="AA674" s="29"/>
      <c r="AB674" s="29"/>
      <c r="AC674" s="29"/>
      <c r="AD674" s="29"/>
      <c r="AE674" s="29"/>
      <c r="AF674" s="29"/>
    </row>
    <row r="675" ht="23.25" customHeight="1">
      <c r="A675" s="29"/>
      <c r="B675" s="29"/>
      <c r="C675" s="29"/>
      <c r="D675" s="2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60"/>
      <c r="U675" s="160"/>
      <c r="V675" s="160"/>
      <c r="W675" s="160"/>
      <c r="X675" s="160"/>
      <c r="Y675" s="160"/>
      <c r="Z675" s="29"/>
      <c r="AA675" s="29"/>
      <c r="AB675" s="29"/>
      <c r="AC675" s="29"/>
      <c r="AD675" s="29"/>
      <c r="AE675" s="29"/>
      <c r="AF675" s="29"/>
    </row>
    <row r="676" ht="23.25" customHeight="1">
      <c r="A676" s="29"/>
      <c r="B676" s="29"/>
      <c r="C676" s="29"/>
      <c r="D676" s="2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60"/>
      <c r="U676" s="160"/>
      <c r="V676" s="160"/>
      <c r="W676" s="160"/>
      <c r="X676" s="160"/>
      <c r="Y676" s="160"/>
      <c r="Z676" s="29"/>
      <c r="AA676" s="29"/>
      <c r="AB676" s="29"/>
      <c r="AC676" s="29"/>
      <c r="AD676" s="29"/>
      <c r="AE676" s="29"/>
      <c r="AF676" s="29"/>
    </row>
    <row r="677" ht="23.25" customHeight="1">
      <c r="A677" s="29"/>
      <c r="B677" s="29"/>
      <c r="C677" s="29"/>
      <c r="D677" s="2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60"/>
      <c r="U677" s="160"/>
      <c r="V677" s="160"/>
      <c r="W677" s="160"/>
      <c r="X677" s="160"/>
      <c r="Y677" s="160"/>
      <c r="Z677" s="29"/>
      <c r="AA677" s="29"/>
      <c r="AB677" s="29"/>
      <c r="AC677" s="29"/>
      <c r="AD677" s="29"/>
      <c r="AE677" s="29"/>
      <c r="AF677" s="29"/>
    </row>
    <row r="678" ht="23.25" customHeight="1">
      <c r="A678" s="29"/>
      <c r="B678" s="29"/>
      <c r="C678" s="29"/>
      <c r="D678" s="2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60"/>
      <c r="U678" s="160"/>
      <c r="V678" s="160"/>
      <c r="W678" s="160"/>
      <c r="X678" s="160"/>
      <c r="Y678" s="160"/>
      <c r="Z678" s="29"/>
      <c r="AA678" s="29"/>
      <c r="AB678" s="29"/>
      <c r="AC678" s="29"/>
      <c r="AD678" s="29"/>
      <c r="AE678" s="29"/>
      <c r="AF678" s="29"/>
    </row>
    <row r="679" ht="23.25" customHeight="1">
      <c r="A679" s="29"/>
      <c r="B679" s="29"/>
      <c r="C679" s="29"/>
      <c r="D679" s="2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60"/>
      <c r="U679" s="160"/>
      <c r="V679" s="160"/>
      <c r="W679" s="160"/>
      <c r="X679" s="160"/>
      <c r="Y679" s="160"/>
      <c r="Z679" s="29"/>
      <c r="AA679" s="29"/>
      <c r="AB679" s="29"/>
      <c r="AC679" s="29"/>
      <c r="AD679" s="29"/>
      <c r="AE679" s="29"/>
      <c r="AF679" s="29"/>
    </row>
    <row r="680" ht="23.25" customHeight="1">
      <c r="A680" s="29"/>
      <c r="B680" s="29"/>
      <c r="C680" s="29"/>
      <c r="D680" s="2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60"/>
      <c r="U680" s="160"/>
      <c r="V680" s="160"/>
      <c r="W680" s="160"/>
      <c r="X680" s="160"/>
      <c r="Y680" s="160"/>
      <c r="Z680" s="29"/>
      <c r="AA680" s="29"/>
      <c r="AB680" s="29"/>
      <c r="AC680" s="29"/>
      <c r="AD680" s="29"/>
      <c r="AE680" s="29"/>
      <c r="AF680" s="29"/>
    </row>
    <row r="681" ht="23.25" customHeight="1">
      <c r="A681" s="29"/>
      <c r="B681" s="29"/>
      <c r="C681" s="29"/>
      <c r="D681" s="2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60"/>
      <c r="U681" s="160"/>
      <c r="V681" s="160"/>
      <c r="W681" s="160"/>
      <c r="X681" s="160"/>
      <c r="Y681" s="160"/>
      <c r="Z681" s="29"/>
      <c r="AA681" s="29"/>
      <c r="AB681" s="29"/>
      <c r="AC681" s="29"/>
      <c r="AD681" s="29"/>
      <c r="AE681" s="29"/>
      <c r="AF681" s="29"/>
    </row>
    <row r="682" ht="23.25" customHeight="1">
      <c r="A682" s="29"/>
      <c r="B682" s="29"/>
      <c r="C682" s="29"/>
      <c r="D682" s="2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60"/>
      <c r="U682" s="160"/>
      <c r="V682" s="160"/>
      <c r="W682" s="160"/>
      <c r="X682" s="160"/>
      <c r="Y682" s="160"/>
      <c r="Z682" s="29"/>
      <c r="AA682" s="29"/>
      <c r="AB682" s="29"/>
      <c r="AC682" s="29"/>
      <c r="AD682" s="29"/>
      <c r="AE682" s="29"/>
      <c r="AF682" s="29"/>
    </row>
    <row r="683" ht="23.25" customHeight="1">
      <c r="A683" s="29"/>
      <c r="B683" s="29"/>
      <c r="C683" s="29"/>
      <c r="D683" s="2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60"/>
      <c r="U683" s="160"/>
      <c r="V683" s="160"/>
      <c r="W683" s="160"/>
      <c r="X683" s="160"/>
      <c r="Y683" s="160"/>
      <c r="Z683" s="29"/>
      <c r="AA683" s="29"/>
      <c r="AB683" s="29"/>
      <c r="AC683" s="29"/>
      <c r="AD683" s="29"/>
      <c r="AE683" s="29"/>
      <c r="AF683" s="29"/>
    </row>
    <row r="684" ht="23.25" customHeight="1">
      <c r="A684" s="29"/>
      <c r="B684" s="29"/>
      <c r="C684" s="29"/>
      <c r="D684" s="2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60"/>
      <c r="U684" s="160"/>
      <c r="V684" s="160"/>
      <c r="W684" s="160"/>
      <c r="X684" s="160"/>
      <c r="Y684" s="160"/>
      <c r="Z684" s="29"/>
      <c r="AA684" s="29"/>
      <c r="AB684" s="29"/>
      <c r="AC684" s="29"/>
      <c r="AD684" s="29"/>
      <c r="AE684" s="29"/>
      <c r="AF684" s="29"/>
    </row>
    <row r="685" ht="23.25" customHeight="1">
      <c r="A685" s="29"/>
      <c r="B685" s="29"/>
      <c r="C685" s="29"/>
      <c r="D685" s="2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60"/>
      <c r="U685" s="160"/>
      <c r="V685" s="160"/>
      <c r="W685" s="160"/>
      <c r="X685" s="160"/>
      <c r="Y685" s="160"/>
      <c r="Z685" s="29"/>
      <c r="AA685" s="29"/>
      <c r="AB685" s="29"/>
      <c r="AC685" s="29"/>
      <c r="AD685" s="29"/>
      <c r="AE685" s="29"/>
      <c r="AF685" s="29"/>
    </row>
    <row r="686" ht="23.25" customHeight="1">
      <c r="A686" s="29"/>
      <c r="B686" s="29"/>
      <c r="C686" s="29"/>
      <c r="D686" s="2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60"/>
      <c r="U686" s="160"/>
      <c r="V686" s="160"/>
      <c r="W686" s="160"/>
      <c r="X686" s="160"/>
      <c r="Y686" s="160"/>
      <c r="Z686" s="29"/>
      <c r="AA686" s="29"/>
      <c r="AB686" s="29"/>
      <c r="AC686" s="29"/>
      <c r="AD686" s="29"/>
      <c r="AE686" s="29"/>
      <c r="AF686" s="29"/>
    </row>
    <row r="687" ht="23.25" customHeight="1">
      <c r="A687" s="29"/>
      <c r="B687" s="29"/>
      <c r="C687" s="29"/>
      <c r="D687" s="2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60"/>
      <c r="U687" s="160"/>
      <c r="V687" s="160"/>
      <c r="W687" s="160"/>
      <c r="X687" s="160"/>
      <c r="Y687" s="160"/>
      <c r="Z687" s="29"/>
      <c r="AA687" s="29"/>
      <c r="AB687" s="29"/>
      <c r="AC687" s="29"/>
      <c r="AD687" s="29"/>
      <c r="AE687" s="29"/>
      <c r="AF687" s="29"/>
    </row>
    <row r="688" ht="23.25" customHeight="1">
      <c r="A688" s="29"/>
      <c r="B688" s="29"/>
      <c r="C688" s="29"/>
      <c r="D688" s="2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60"/>
      <c r="U688" s="160"/>
      <c r="V688" s="160"/>
      <c r="W688" s="160"/>
      <c r="X688" s="160"/>
      <c r="Y688" s="160"/>
      <c r="Z688" s="29"/>
      <c r="AA688" s="29"/>
      <c r="AB688" s="29"/>
      <c r="AC688" s="29"/>
      <c r="AD688" s="29"/>
      <c r="AE688" s="29"/>
      <c r="AF688" s="29"/>
    </row>
    <row r="689" ht="23.25" customHeight="1">
      <c r="A689" s="29"/>
      <c r="B689" s="29"/>
      <c r="C689" s="29"/>
      <c r="D689" s="2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60"/>
      <c r="U689" s="160"/>
      <c r="V689" s="160"/>
      <c r="W689" s="160"/>
      <c r="X689" s="160"/>
      <c r="Y689" s="160"/>
      <c r="Z689" s="29"/>
      <c r="AA689" s="29"/>
      <c r="AB689" s="29"/>
      <c r="AC689" s="29"/>
      <c r="AD689" s="29"/>
      <c r="AE689" s="29"/>
      <c r="AF689" s="29"/>
    </row>
    <row r="690" ht="23.25" customHeight="1">
      <c r="A690" s="29"/>
      <c r="B690" s="29"/>
      <c r="C690" s="29"/>
      <c r="D690" s="2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60"/>
      <c r="U690" s="160"/>
      <c r="V690" s="160"/>
      <c r="W690" s="160"/>
      <c r="X690" s="160"/>
      <c r="Y690" s="160"/>
      <c r="Z690" s="29"/>
      <c r="AA690" s="29"/>
      <c r="AB690" s="29"/>
      <c r="AC690" s="29"/>
      <c r="AD690" s="29"/>
      <c r="AE690" s="29"/>
      <c r="AF690" s="29"/>
    </row>
    <row r="691" ht="23.25" customHeight="1">
      <c r="A691" s="29"/>
      <c r="B691" s="29"/>
      <c r="C691" s="29"/>
      <c r="D691" s="2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60"/>
      <c r="U691" s="160"/>
      <c r="V691" s="160"/>
      <c r="W691" s="160"/>
      <c r="X691" s="160"/>
      <c r="Y691" s="160"/>
      <c r="Z691" s="29"/>
      <c r="AA691" s="29"/>
      <c r="AB691" s="29"/>
      <c r="AC691" s="29"/>
      <c r="AD691" s="29"/>
      <c r="AE691" s="29"/>
      <c r="AF691" s="29"/>
    </row>
    <row r="692" ht="23.25" customHeight="1">
      <c r="A692" s="29"/>
      <c r="B692" s="29"/>
      <c r="C692" s="29"/>
      <c r="D692" s="2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60"/>
      <c r="U692" s="160"/>
      <c r="V692" s="160"/>
      <c r="W692" s="160"/>
      <c r="X692" s="160"/>
      <c r="Y692" s="160"/>
      <c r="Z692" s="29"/>
      <c r="AA692" s="29"/>
      <c r="AB692" s="29"/>
      <c r="AC692" s="29"/>
      <c r="AD692" s="29"/>
      <c r="AE692" s="29"/>
      <c r="AF692" s="29"/>
    </row>
    <row r="693" ht="23.25" customHeight="1">
      <c r="A693" s="29"/>
      <c r="B693" s="29"/>
      <c r="C693" s="29"/>
      <c r="D693" s="2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60"/>
      <c r="U693" s="160"/>
      <c r="V693" s="160"/>
      <c r="W693" s="160"/>
      <c r="X693" s="160"/>
      <c r="Y693" s="160"/>
      <c r="Z693" s="29"/>
      <c r="AA693" s="29"/>
      <c r="AB693" s="29"/>
      <c r="AC693" s="29"/>
      <c r="AD693" s="29"/>
      <c r="AE693" s="29"/>
      <c r="AF693" s="29"/>
    </row>
    <row r="694" ht="23.25" customHeight="1">
      <c r="A694" s="29"/>
      <c r="B694" s="29"/>
      <c r="C694" s="29"/>
      <c r="D694" s="2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60"/>
      <c r="U694" s="160"/>
      <c r="V694" s="160"/>
      <c r="W694" s="160"/>
      <c r="X694" s="160"/>
      <c r="Y694" s="160"/>
      <c r="Z694" s="29"/>
      <c r="AA694" s="29"/>
      <c r="AB694" s="29"/>
      <c r="AC694" s="29"/>
      <c r="AD694" s="29"/>
      <c r="AE694" s="29"/>
      <c r="AF694" s="29"/>
    </row>
    <row r="695" ht="23.25" customHeight="1">
      <c r="A695" s="29"/>
      <c r="B695" s="29"/>
      <c r="C695" s="29"/>
      <c r="D695" s="2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60"/>
      <c r="U695" s="160"/>
      <c r="V695" s="160"/>
      <c r="W695" s="160"/>
      <c r="X695" s="160"/>
      <c r="Y695" s="160"/>
      <c r="Z695" s="29"/>
      <c r="AA695" s="29"/>
      <c r="AB695" s="29"/>
      <c r="AC695" s="29"/>
      <c r="AD695" s="29"/>
      <c r="AE695" s="29"/>
      <c r="AF695" s="29"/>
    </row>
    <row r="696" ht="23.25" customHeight="1">
      <c r="A696" s="29"/>
      <c r="B696" s="29"/>
      <c r="C696" s="29"/>
      <c r="D696" s="2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60"/>
      <c r="U696" s="160"/>
      <c r="V696" s="160"/>
      <c r="W696" s="160"/>
      <c r="X696" s="160"/>
      <c r="Y696" s="160"/>
      <c r="Z696" s="29"/>
      <c r="AA696" s="29"/>
      <c r="AB696" s="29"/>
      <c r="AC696" s="29"/>
      <c r="AD696" s="29"/>
      <c r="AE696" s="29"/>
      <c r="AF696" s="29"/>
    </row>
    <row r="697" ht="23.25" customHeight="1">
      <c r="A697" s="29"/>
      <c r="B697" s="29"/>
      <c r="C697" s="29"/>
      <c r="D697" s="2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60"/>
      <c r="U697" s="160"/>
      <c r="V697" s="160"/>
      <c r="W697" s="160"/>
      <c r="X697" s="160"/>
      <c r="Y697" s="160"/>
      <c r="Z697" s="29"/>
      <c r="AA697" s="29"/>
      <c r="AB697" s="29"/>
      <c r="AC697" s="29"/>
      <c r="AD697" s="29"/>
      <c r="AE697" s="29"/>
      <c r="AF697" s="29"/>
    </row>
    <row r="698" ht="23.25" customHeight="1">
      <c r="A698" s="29"/>
      <c r="B698" s="29"/>
      <c r="C698" s="29"/>
      <c r="D698" s="2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60"/>
      <c r="U698" s="160"/>
      <c r="V698" s="160"/>
      <c r="W698" s="160"/>
      <c r="X698" s="160"/>
      <c r="Y698" s="160"/>
      <c r="Z698" s="29"/>
      <c r="AA698" s="29"/>
      <c r="AB698" s="29"/>
      <c r="AC698" s="29"/>
      <c r="AD698" s="29"/>
      <c r="AE698" s="29"/>
      <c r="AF698" s="29"/>
    </row>
    <row r="699" ht="23.25" customHeight="1">
      <c r="A699" s="29"/>
      <c r="B699" s="29"/>
      <c r="C699" s="29"/>
      <c r="D699" s="2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60"/>
      <c r="U699" s="160"/>
      <c r="V699" s="160"/>
      <c r="W699" s="160"/>
      <c r="X699" s="160"/>
      <c r="Y699" s="160"/>
      <c r="Z699" s="29"/>
      <c r="AA699" s="29"/>
      <c r="AB699" s="29"/>
      <c r="AC699" s="29"/>
      <c r="AD699" s="29"/>
      <c r="AE699" s="29"/>
      <c r="AF699" s="29"/>
    </row>
    <row r="700" ht="23.25" customHeight="1">
      <c r="A700" s="29"/>
      <c r="B700" s="29"/>
      <c r="C700" s="29"/>
      <c r="D700" s="2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60"/>
      <c r="U700" s="160"/>
      <c r="V700" s="160"/>
      <c r="W700" s="160"/>
      <c r="X700" s="160"/>
      <c r="Y700" s="160"/>
      <c r="Z700" s="29"/>
      <c r="AA700" s="29"/>
      <c r="AB700" s="29"/>
      <c r="AC700" s="29"/>
      <c r="AD700" s="29"/>
      <c r="AE700" s="29"/>
      <c r="AF700" s="29"/>
    </row>
    <row r="701" ht="23.25" customHeight="1">
      <c r="A701" s="29"/>
      <c r="B701" s="29"/>
      <c r="C701" s="29"/>
      <c r="D701" s="2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60"/>
      <c r="U701" s="160"/>
      <c r="V701" s="160"/>
      <c r="W701" s="160"/>
      <c r="X701" s="160"/>
      <c r="Y701" s="160"/>
      <c r="Z701" s="29"/>
      <c r="AA701" s="29"/>
      <c r="AB701" s="29"/>
      <c r="AC701" s="29"/>
      <c r="AD701" s="29"/>
      <c r="AE701" s="29"/>
      <c r="AF701" s="29"/>
    </row>
    <row r="702" ht="23.25" customHeight="1">
      <c r="A702" s="29"/>
      <c r="B702" s="29"/>
      <c r="C702" s="29"/>
      <c r="D702" s="2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60"/>
      <c r="U702" s="160"/>
      <c r="V702" s="160"/>
      <c r="W702" s="160"/>
      <c r="X702" s="160"/>
      <c r="Y702" s="160"/>
      <c r="Z702" s="29"/>
      <c r="AA702" s="29"/>
      <c r="AB702" s="29"/>
      <c r="AC702" s="29"/>
      <c r="AD702" s="29"/>
      <c r="AE702" s="29"/>
      <c r="AF702" s="29"/>
    </row>
    <row r="703" ht="23.25" customHeight="1">
      <c r="A703" s="29"/>
      <c r="B703" s="29"/>
      <c r="C703" s="29"/>
      <c r="D703" s="2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60"/>
      <c r="U703" s="160"/>
      <c r="V703" s="160"/>
      <c r="W703" s="160"/>
      <c r="X703" s="160"/>
      <c r="Y703" s="160"/>
      <c r="Z703" s="29"/>
      <c r="AA703" s="29"/>
      <c r="AB703" s="29"/>
      <c r="AC703" s="29"/>
      <c r="AD703" s="29"/>
      <c r="AE703" s="29"/>
      <c r="AF703" s="29"/>
    </row>
    <row r="704" ht="23.25" customHeight="1">
      <c r="A704" s="29"/>
      <c r="B704" s="29"/>
      <c r="C704" s="29"/>
      <c r="D704" s="2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60"/>
      <c r="U704" s="160"/>
      <c r="V704" s="160"/>
      <c r="W704" s="160"/>
      <c r="X704" s="160"/>
      <c r="Y704" s="160"/>
      <c r="Z704" s="29"/>
      <c r="AA704" s="29"/>
      <c r="AB704" s="29"/>
      <c r="AC704" s="29"/>
      <c r="AD704" s="29"/>
      <c r="AE704" s="29"/>
      <c r="AF704" s="29"/>
    </row>
    <row r="705" ht="23.25" customHeight="1">
      <c r="A705" s="29"/>
      <c r="B705" s="29"/>
      <c r="C705" s="29"/>
      <c r="D705" s="2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60"/>
      <c r="U705" s="160"/>
      <c r="V705" s="160"/>
      <c r="W705" s="160"/>
      <c r="X705" s="160"/>
      <c r="Y705" s="160"/>
      <c r="Z705" s="29"/>
      <c r="AA705" s="29"/>
      <c r="AB705" s="29"/>
      <c r="AC705" s="29"/>
      <c r="AD705" s="29"/>
      <c r="AE705" s="29"/>
      <c r="AF705" s="29"/>
    </row>
    <row r="706" ht="23.25" customHeight="1">
      <c r="A706" s="29"/>
      <c r="B706" s="29"/>
      <c r="C706" s="29"/>
      <c r="D706" s="2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60"/>
      <c r="U706" s="160"/>
      <c r="V706" s="160"/>
      <c r="W706" s="160"/>
      <c r="X706" s="160"/>
      <c r="Y706" s="160"/>
      <c r="Z706" s="29"/>
      <c r="AA706" s="29"/>
      <c r="AB706" s="29"/>
      <c r="AC706" s="29"/>
      <c r="AD706" s="29"/>
      <c r="AE706" s="29"/>
      <c r="AF706" s="29"/>
    </row>
    <row r="707" ht="23.25" customHeight="1">
      <c r="A707" s="29"/>
      <c r="B707" s="29"/>
      <c r="C707" s="29"/>
      <c r="D707" s="2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60"/>
      <c r="U707" s="160"/>
      <c r="V707" s="160"/>
      <c r="W707" s="160"/>
      <c r="X707" s="160"/>
      <c r="Y707" s="160"/>
      <c r="Z707" s="29"/>
      <c r="AA707" s="29"/>
      <c r="AB707" s="29"/>
      <c r="AC707" s="29"/>
      <c r="AD707" s="29"/>
      <c r="AE707" s="29"/>
      <c r="AF707" s="29"/>
    </row>
    <row r="708" ht="23.25" customHeight="1">
      <c r="A708" s="29"/>
      <c r="B708" s="29"/>
      <c r="C708" s="29"/>
      <c r="D708" s="2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60"/>
      <c r="U708" s="160"/>
      <c r="V708" s="160"/>
      <c r="W708" s="160"/>
      <c r="X708" s="160"/>
      <c r="Y708" s="160"/>
      <c r="Z708" s="29"/>
      <c r="AA708" s="29"/>
      <c r="AB708" s="29"/>
      <c r="AC708" s="29"/>
      <c r="AD708" s="29"/>
      <c r="AE708" s="29"/>
      <c r="AF708" s="29"/>
    </row>
    <row r="709" ht="23.25" customHeight="1">
      <c r="A709" s="29"/>
      <c r="B709" s="29"/>
      <c r="C709" s="29"/>
      <c r="D709" s="2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60"/>
      <c r="U709" s="160"/>
      <c r="V709" s="160"/>
      <c r="W709" s="160"/>
      <c r="X709" s="160"/>
      <c r="Y709" s="160"/>
      <c r="Z709" s="29"/>
      <c r="AA709" s="29"/>
      <c r="AB709" s="29"/>
      <c r="AC709" s="29"/>
      <c r="AD709" s="29"/>
      <c r="AE709" s="29"/>
      <c r="AF709" s="29"/>
    </row>
    <row r="710" ht="23.25" customHeight="1">
      <c r="A710" s="29"/>
      <c r="B710" s="29"/>
      <c r="C710" s="29"/>
      <c r="D710" s="2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60"/>
      <c r="U710" s="160"/>
      <c r="V710" s="160"/>
      <c r="W710" s="160"/>
      <c r="X710" s="160"/>
      <c r="Y710" s="160"/>
      <c r="Z710" s="29"/>
      <c r="AA710" s="29"/>
      <c r="AB710" s="29"/>
      <c r="AC710" s="29"/>
      <c r="AD710" s="29"/>
      <c r="AE710" s="29"/>
      <c r="AF710" s="29"/>
    </row>
    <row r="711" ht="23.25" customHeight="1">
      <c r="A711" s="29"/>
      <c r="B711" s="29"/>
      <c r="C711" s="29"/>
      <c r="D711" s="2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60"/>
      <c r="U711" s="160"/>
      <c r="V711" s="160"/>
      <c r="W711" s="160"/>
      <c r="X711" s="160"/>
      <c r="Y711" s="160"/>
      <c r="Z711" s="29"/>
      <c r="AA711" s="29"/>
      <c r="AB711" s="29"/>
      <c r="AC711" s="29"/>
      <c r="AD711" s="29"/>
      <c r="AE711" s="29"/>
      <c r="AF711" s="29"/>
    </row>
    <row r="712" ht="23.25" customHeight="1">
      <c r="A712" s="29"/>
      <c r="B712" s="29"/>
      <c r="C712" s="29"/>
      <c r="D712" s="2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60"/>
      <c r="U712" s="160"/>
      <c r="V712" s="160"/>
      <c r="W712" s="160"/>
      <c r="X712" s="160"/>
      <c r="Y712" s="160"/>
      <c r="Z712" s="29"/>
      <c r="AA712" s="29"/>
      <c r="AB712" s="29"/>
      <c r="AC712" s="29"/>
      <c r="AD712" s="29"/>
      <c r="AE712" s="29"/>
      <c r="AF712" s="29"/>
    </row>
    <row r="713" ht="23.25" customHeight="1">
      <c r="A713" s="29"/>
      <c r="B713" s="29"/>
      <c r="C713" s="29"/>
      <c r="D713" s="2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60"/>
      <c r="U713" s="160"/>
      <c r="V713" s="160"/>
      <c r="W713" s="160"/>
      <c r="X713" s="160"/>
      <c r="Y713" s="160"/>
      <c r="Z713" s="29"/>
      <c r="AA713" s="29"/>
      <c r="AB713" s="29"/>
      <c r="AC713" s="29"/>
      <c r="AD713" s="29"/>
      <c r="AE713" s="29"/>
      <c r="AF713" s="29"/>
    </row>
    <row r="714" ht="23.25" customHeight="1">
      <c r="A714" s="29"/>
      <c r="B714" s="29"/>
      <c r="C714" s="29"/>
      <c r="D714" s="2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60"/>
      <c r="U714" s="160"/>
      <c r="V714" s="160"/>
      <c r="W714" s="160"/>
      <c r="X714" s="160"/>
      <c r="Y714" s="160"/>
      <c r="Z714" s="29"/>
      <c r="AA714" s="29"/>
      <c r="AB714" s="29"/>
      <c r="AC714" s="29"/>
      <c r="AD714" s="29"/>
      <c r="AE714" s="29"/>
      <c r="AF714" s="29"/>
    </row>
    <row r="715" ht="23.25" customHeight="1">
      <c r="A715" s="29"/>
      <c r="B715" s="29"/>
      <c r="C715" s="29"/>
      <c r="D715" s="2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60"/>
      <c r="U715" s="160"/>
      <c r="V715" s="160"/>
      <c r="W715" s="160"/>
      <c r="X715" s="160"/>
      <c r="Y715" s="160"/>
      <c r="Z715" s="29"/>
      <c r="AA715" s="29"/>
      <c r="AB715" s="29"/>
      <c r="AC715" s="29"/>
      <c r="AD715" s="29"/>
      <c r="AE715" s="29"/>
      <c r="AF715" s="29"/>
    </row>
    <row r="716" ht="23.25" customHeight="1">
      <c r="A716" s="29"/>
      <c r="B716" s="29"/>
      <c r="C716" s="29"/>
      <c r="D716" s="2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60"/>
      <c r="U716" s="160"/>
      <c r="V716" s="160"/>
      <c r="W716" s="160"/>
      <c r="X716" s="160"/>
      <c r="Y716" s="160"/>
      <c r="Z716" s="29"/>
      <c r="AA716" s="29"/>
      <c r="AB716" s="29"/>
      <c r="AC716" s="29"/>
      <c r="AD716" s="29"/>
      <c r="AE716" s="29"/>
      <c r="AF716" s="29"/>
    </row>
    <row r="717" ht="23.25" customHeight="1">
      <c r="A717" s="29"/>
      <c r="B717" s="29"/>
      <c r="C717" s="29"/>
      <c r="D717" s="2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60"/>
      <c r="U717" s="160"/>
      <c r="V717" s="160"/>
      <c r="W717" s="160"/>
      <c r="X717" s="160"/>
      <c r="Y717" s="160"/>
      <c r="Z717" s="29"/>
      <c r="AA717" s="29"/>
      <c r="AB717" s="29"/>
      <c r="AC717" s="29"/>
      <c r="AD717" s="29"/>
      <c r="AE717" s="29"/>
      <c r="AF717" s="29"/>
    </row>
    <row r="718" ht="23.25" customHeight="1">
      <c r="A718" s="29"/>
      <c r="B718" s="29"/>
      <c r="C718" s="29"/>
      <c r="D718" s="2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60"/>
      <c r="U718" s="160"/>
      <c r="V718" s="160"/>
      <c r="W718" s="160"/>
      <c r="X718" s="160"/>
      <c r="Y718" s="160"/>
      <c r="Z718" s="29"/>
      <c r="AA718" s="29"/>
      <c r="AB718" s="29"/>
      <c r="AC718" s="29"/>
      <c r="AD718" s="29"/>
      <c r="AE718" s="29"/>
      <c r="AF718" s="29"/>
    </row>
    <row r="719" ht="23.25" customHeight="1">
      <c r="A719" s="29"/>
      <c r="B719" s="29"/>
      <c r="C719" s="29"/>
      <c r="D719" s="2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60"/>
      <c r="U719" s="160"/>
      <c r="V719" s="160"/>
      <c r="W719" s="160"/>
      <c r="X719" s="160"/>
      <c r="Y719" s="160"/>
      <c r="Z719" s="29"/>
      <c r="AA719" s="29"/>
      <c r="AB719" s="29"/>
      <c r="AC719" s="29"/>
      <c r="AD719" s="29"/>
      <c r="AE719" s="29"/>
      <c r="AF719" s="29"/>
    </row>
    <row r="720" ht="23.25" customHeight="1">
      <c r="A720" s="29"/>
      <c r="B720" s="29"/>
      <c r="C720" s="29"/>
      <c r="D720" s="2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60"/>
      <c r="U720" s="160"/>
      <c r="V720" s="160"/>
      <c r="W720" s="160"/>
      <c r="X720" s="160"/>
      <c r="Y720" s="160"/>
      <c r="Z720" s="29"/>
      <c r="AA720" s="29"/>
      <c r="AB720" s="29"/>
      <c r="AC720" s="29"/>
      <c r="AD720" s="29"/>
      <c r="AE720" s="29"/>
      <c r="AF720" s="29"/>
    </row>
    <row r="721" ht="23.25" customHeight="1">
      <c r="A721" s="29"/>
      <c r="B721" s="29"/>
      <c r="C721" s="29"/>
      <c r="D721" s="2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60"/>
      <c r="U721" s="160"/>
      <c r="V721" s="160"/>
      <c r="W721" s="160"/>
      <c r="X721" s="160"/>
      <c r="Y721" s="160"/>
      <c r="Z721" s="29"/>
      <c r="AA721" s="29"/>
      <c r="AB721" s="29"/>
      <c r="AC721" s="29"/>
      <c r="AD721" s="29"/>
      <c r="AE721" s="29"/>
      <c r="AF721" s="29"/>
    </row>
    <row r="722" ht="23.25" customHeight="1">
      <c r="A722" s="29"/>
      <c r="B722" s="29"/>
      <c r="C722" s="29"/>
      <c r="D722" s="2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60"/>
      <c r="U722" s="160"/>
      <c r="V722" s="160"/>
      <c r="W722" s="160"/>
      <c r="X722" s="160"/>
      <c r="Y722" s="160"/>
      <c r="Z722" s="29"/>
      <c r="AA722" s="29"/>
      <c r="AB722" s="29"/>
      <c r="AC722" s="29"/>
      <c r="AD722" s="29"/>
      <c r="AE722" s="29"/>
      <c r="AF722" s="29"/>
    </row>
    <row r="723" ht="23.25" customHeight="1">
      <c r="A723" s="29"/>
      <c r="B723" s="29"/>
      <c r="C723" s="29"/>
      <c r="D723" s="2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60"/>
      <c r="U723" s="160"/>
      <c r="V723" s="160"/>
      <c r="W723" s="160"/>
      <c r="X723" s="160"/>
      <c r="Y723" s="160"/>
      <c r="Z723" s="29"/>
      <c r="AA723" s="29"/>
      <c r="AB723" s="29"/>
      <c r="AC723" s="29"/>
      <c r="AD723" s="29"/>
      <c r="AE723" s="29"/>
      <c r="AF723" s="29"/>
    </row>
    <row r="724" ht="23.25" customHeight="1">
      <c r="A724" s="29"/>
      <c r="B724" s="29"/>
      <c r="C724" s="29"/>
      <c r="D724" s="2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60"/>
      <c r="U724" s="160"/>
      <c r="V724" s="160"/>
      <c r="W724" s="160"/>
      <c r="X724" s="160"/>
      <c r="Y724" s="160"/>
      <c r="Z724" s="29"/>
      <c r="AA724" s="29"/>
      <c r="AB724" s="29"/>
      <c r="AC724" s="29"/>
      <c r="AD724" s="29"/>
      <c r="AE724" s="29"/>
      <c r="AF724" s="29"/>
    </row>
    <row r="725" ht="23.25" customHeight="1">
      <c r="A725" s="29"/>
      <c r="B725" s="29"/>
      <c r="C725" s="29"/>
      <c r="D725" s="2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60"/>
      <c r="U725" s="160"/>
      <c r="V725" s="160"/>
      <c r="W725" s="160"/>
      <c r="X725" s="160"/>
      <c r="Y725" s="160"/>
      <c r="Z725" s="29"/>
      <c r="AA725" s="29"/>
      <c r="AB725" s="29"/>
      <c r="AC725" s="29"/>
      <c r="AD725" s="29"/>
      <c r="AE725" s="29"/>
      <c r="AF725" s="29"/>
    </row>
    <row r="726" ht="23.25" customHeight="1">
      <c r="A726" s="29"/>
      <c r="B726" s="29"/>
      <c r="C726" s="29"/>
      <c r="D726" s="2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60"/>
      <c r="U726" s="160"/>
      <c r="V726" s="160"/>
      <c r="W726" s="160"/>
      <c r="X726" s="160"/>
      <c r="Y726" s="160"/>
      <c r="Z726" s="29"/>
      <c r="AA726" s="29"/>
      <c r="AB726" s="29"/>
      <c r="AC726" s="29"/>
      <c r="AD726" s="29"/>
      <c r="AE726" s="29"/>
      <c r="AF726" s="29"/>
    </row>
    <row r="727" ht="23.25" customHeight="1">
      <c r="A727" s="29"/>
      <c r="B727" s="29"/>
      <c r="C727" s="29"/>
      <c r="D727" s="2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60"/>
      <c r="U727" s="160"/>
      <c r="V727" s="160"/>
      <c r="W727" s="160"/>
      <c r="X727" s="160"/>
      <c r="Y727" s="160"/>
      <c r="Z727" s="29"/>
      <c r="AA727" s="29"/>
      <c r="AB727" s="29"/>
      <c r="AC727" s="29"/>
      <c r="AD727" s="29"/>
      <c r="AE727" s="29"/>
      <c r="AF727" s="29"/>
    </row>
    <row r="728" ht="23.25" customHeight="1">
      <c r="A728" s="29"/>
      <c r="B728" s="29"/>
      <c r="C728" s="29"/>
      <c r="D728" s="2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60"/>
      <c r="U728" s="160"/>
      <c r="V728" s="160"/>
      <c r="W728" s="160"/>
      <c r="X728" s="160"/>
      <c r="Y728" s="160"/>
      <c r="Z728" s="29"/>
      <c r="AA728" s="29"/>
      <c r="AB728" s="29"/>
      <c r="AC728" s="29"/>
      <c r="AD728" s="29"/>
      <c r="AE728" s="29"/>
      <c r="AF728" s="29"/>
    </row>
    <row r="729" ht="23.25" customHeight="1">
      <c r="A729" s="29"/>
      <c r="B729" s="29"/>
      <c r="C729" s="29"/>
      <c r="D729" s="2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60"/>
      <c r="U729" s="160"/>
      <c r="V729" s="160"/>
      <c r="W729" s="160"/>
      <c r="X729" s="160"/>
      <c r="Y729" s="160"/>
      <c r="Z729" s="29"/>
      <c r="AA729" s="29"/>
      <c r="AB729" s="29"/>
      <c r="AC729" s="29"/>
      <c r="AD729" s="29"/>
      <c r="AE729" s="29"/>
      <c r="AF729" s="29"/>
    </row>
    <row r="730" ht="23.25" customHeight="1">
      <c r="A730" s="29"/>
      <c r="B730" s="29"/>
      <c r="C730" s="29"/>
      <c r="D730" s="2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60"/>
      <c r="U730" s="160"/>
      <c r="V730" s="160"/>
      <c r="W730" s="160"/>
      <c r="X730" s="160"/>
      <c r="Y730" s="160"/>
      <c r="Z730" s="29"/>
      <c r="AA730" s="29"/>
      <c r="AB730" s="29"/>
      <c r="AC730" s="29"/>
      <c r="AD730" s="29"/>
      <c r="AE730" s="29"/>
      <c r="AF730" s="29"/>
    </row>
    <row r="731" ht="23.25" customHeight="1">
      <c r="A731" s="29"/>
      <c r="B731" s="29"/>
      <c r="C731" s="29"/>
      <c r="D731" s="2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60"/>
      <c r="U731" s="160"/>
      <c r="V731" s="160"/>
      <c r="W731" s="160"/>
      <c r="X731" s="160"/>
      <c r="Y731" s="160"/>
      <c r="Z731" s="29"/>
      <c r="AA731" s="29"/>
      <c r="AB731" s="29"/>
      <c r="AC731" s="29"/>
      <c r="AD731" s="29"/>
      <c r="AE731" s="29"/>
      <c r="AF731" s="29"/>
    </row>
    <row r="732" ht="23.25" customHeight="1">
      <c r="A732" s="29"/>
      <c r="B732" s="29"/>
      <c r="C732" s="29"/>
      <c r="D732" s="2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60"/>
      <c r="U732" s="160"/>
      <c r="V732" s="160"/>
      <c r="W732" s="160"/>
      <c r="X732" s="160"/>
      <c r="Y732" s="160"/>
      <c r="Z732" s="29"/>
      <c r="AA732" s="29"/>
      <c r="AB732" s="29"/>
      <c r="AC732" s="29"/>
      <c r="AD732" s="29"/>
      <c r="AE732" s="29"/>
      <c r="AF732" s="29"/>
    </row>
    <row r="733" ht="23.25" customHeight="1">
      <c r="A733" s="29"/>
      <c r="B733" s="29"/>
      <c r="C733" s="29"/>
      <c r="D733" s="2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60"/>
      <c r="U733" s="160"/>
      <c r="V733" s="160"/>
      <c r="W733" s="160"/>
      <c r="X733" s="160"/>
      <c r="Y733" s="160"/>
      <c r="Z733" s="29"/>
      <c r="AA733" s="29"/>
      <c r="AB733" s="29"/>
      <c r="AC733" s="29"/>
      <c r="AD733" s="29"/>
      <c r="AE733" s="29"/>
      <c r="AF733" s="29"/>
    </row>
    <row r="734" ht="23.25" customHeight="1">
      <c r="A734" s="29"/>
      <c r="B734" s="29"/>
      <c r="C734" s="29"/>
      <c r="D734" s="2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60"/>
      <c r="U734" s="160"/>
      <c r="V734" s="160"/>
      <c r="W734" s="160"/>
      <c r="X734" s="160"/>
      <c r="Y734" s="160"/>
      <c r="Z734" s="29"/>
      <c r="AA734" s="29"/>
      <c r="AB734" s="29"/>
      <c r="AC734" s="29"/>
      <c r="AD734" s="29"/>
      <c r="AE734" s="29"/>
      <c r="AF734" s="29"/>
    </row>
    <row r="735" ht="23.25" customHeight="1">
      <c r="A735" s="29"/>
      <c r="B735" s="29"/>
      <c r="C735" s="29"/>
      <c r="D735" s="2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60"/>
      <c r="U735" s="160"/>
      <c r="V735" s="160"/>
      <c r="W735" s="160"/>
      <c r="X735" s="160"/>
      <c r="Y735" s="160"/>
      <c r="Z735" s="29"/>
      <c r="AA735" s="29"/>
      <c r="AB735" s="29"/>
      <c r="AC735" s="29"/>
      <c r="AD735" s="29"/>
      <c r="AE735" s="29"/>
      <c r="AF735" s="29"/>
    </row>
    <row r="736" ht="23.25" customHeight="1">
      <c r="A736" s="29"/>
      <c r="B736" s="29"/>
      <c r="C736" s="29"/>
      <c r="D736" s="2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60"/>
      <c r="U736" s="160"/>
      <c r="V736" s="160"/>
      <c r="W736" s="160"/>
      <c r="X736" s="160"/>
      <c r="Y736" s="160"/>
      <c r="Z736" s="29"/>
      <c r="AA736" s="29"/>
      <c r="AB736" s="29"/>
      <c r="AC736" s="29"/>
      <c r="AD736" s="29"/>
      <c r="AE736" s="29"/>
      <c r="AF736" s="29"/>
    </row>
    <row r="737" ht="23.25" customHeight="1">
      <c r="A737" s="29"/>
      <c r="B737" s="29"/>
      <c r="C737" s="29"/>
      <c r="D737" s="2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60"/>
      <c r="U737" s="160"/>
      <c r="V737" s="160"/>
      <c r="W737" s="160"/>
      <c r="X737" s="160"/>
      <c r="Y737" s="160"/>
      <c r="Z737" s="29"/>
      <c r="AA737" s="29"/>
      <c r="AB737" s="29"/>
      <c r="AC737" s="29"/>
      <c r="AD737" s="29"/>
      <c r="AE737" s="29"/>
      <c r="AF737" s="29"/>
    </row>
    <row r="738" ht="23.25" customHeight="1">
      <c r="A738" s="29"/>
      <c r="B738" s="29"/>
      <c r="C738" s="29"/>
      <c r="D738" s="2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60"/>
      <c r="U738" s="160"/>
      <c r="V738" s="160"/>
      <c r="W738" s="160"/>
      <c r="X738" s="160"/>
      <c r="Y738" s="160"/>
      <c r="Z738" s="29"/>
      <c r="AA738" s="29"/>
      <c r="AB738" s="29"/>
      <c r="AC738" s="29"/>
      <c r="AD738" s="29"/>
      <c r="AE738" s="29"/>
      <c r="AF738" s="29"/>
    </row>
    <row r="739" ht="23.25" customHeight="1">
      <c r="A739" s="29"/>
      <c r="B739" s="29"/>
      <c r="C739" s="29"/>
      <c r="D739" s="2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60"/>
      <c r="U739" s="160"/>
      <c r="V739" s="160"/>
      <c r="W739" s="160"/>
      <c r="X739" s="160"/>
      <c r="Y739" s="160"/>
      <c r="Z739" s="29"/>
      <c r="AA739" s="29"/>
      <c r="AB739" s="29"/>
      <c r="AC739" s="29"/>
      <c r="AD739" s="29"/>
      <c r="AE739" s="29"/>
      <c r="AF739" s="29"/>
    </row>
    <row r="740" ht="23.25" customHeight="1">
      <c r="A740" s="29"/>
      <c r="B740" s="29"/>
      <c r="C740" s="29"/>
      <c r="D740" s="2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60"/>
      <c r="U740" s="160"/>
      <c r="V740" s="160"/>
      <c r="W740" s="160"/>
      <c r="X740" s="160"/>
      <c r="Y740" s="160"/>
      <c r="Z740" s="29"/>
      <c r="AA740" s="29"/>
      <c r="AB740" s="29"/>
      <c r="AC740" s="29"/>
      <c r="AD740" s="29"/>
      <c r="AE740" s="29"/>
      <c r="AF740" s="29"/>
    </row>
    <row r="741" ht="23.25" customHeight="1">
      <c r="A741" s="29"/>
      <c r="B741" s="29"/>
      <c r="C741" s="29"/>
      <c r="D741" s="2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60"/>
      <c r="U741" s="160"/>
      <c r="V741" s="160"/>
      <c r="W741" s="160"/>
      <c r="X741" s="160"/>
      <c r="Y741" s="160"/>
      <c r="Z741" s="29"/>
      <c r="AA741" s="29"/>
      <c r="AB741" s="29"/>
      <c r="AC741" s="29"/>
      <c r="AD741" s="29"/>
      <c r="AE741" s="29"/>
      <c r="AF741" s="29"/>
    </row>
    <row r="742" ht="23.25" customHeight="1">
      <c r="A742" s="29"/>
      <c r="B742" s="29"/>
      <c r="C742" s="29"/>
      <c r="D742" s="2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60"/>
      <c r="U742" s="160"/>
      <c r="V742" s="160"/>
      <c r="W742" s="160"/>
      <c r="X742" s="160"/>
      <c r="Y742" s="160"/>
      <c r="Z742" s="29"/>
      <c r="AA742" s="29"/>
      <c r="AB742" s="29"/>
      <c r="AC742" s="29"/>
      <c r="AD742" s="29"/>
      <c r="AE742" s="29"/>
      <c r="AF742" s="29"/>
    </row>
    <row r="743" ht="23.25" customHeight="1">
      <c r="A743" s="29"/>
      <c r="B743" s="29"/>
      <c r="C743" s="29"/>
      <c r="D743" s="2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60"/>
      <c r="U743" s="160"/>
      <c r="V743" s="160"/>
      <c r="W743" s="160"/>
      <c r="X743" s="160"/>
      <c r="Y743" s="160"/>
      <c r="Z743" s="29"/>
      <c r="AA743" s="29"/>
      <c r="AB743" s="29"/>
      <c r="AC743" s="29"/>
      <c r="AD743" s="29"/>
      <c r="AE743" s="29"/>
      <c r="AF743" s="29"/>
    </row>
    <row r="744" ht="23.25" customHeight="1">
      <c r="A744" s="29"/>
      <c r="B744" s="29"/>
      <c r="C744" s="29"/>
      <c r="D744" s="2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60"/>
      <c r="U744" s="160"/>
      <c r="V744" s="160"/>
      <c r="W744" s="160"/>
      <c r="X744" s="160"/>
      <c r="Y744" s="160"/>
      <c r="Z744" s="29"/>
      <c r="AA744" s="29"/>
      <c r="AB744" s="29"/>
      <c r="AC744" s="29"/>
      <c r="AD744" s="29"/>
      <c r="AE744" s="29"/>
      <c r="AF744" s="29"/>
    </row>
    <row r="745" ht="23.25" customHeight="1">
      <c r="A745" s="29"/>
      <c r="B745" s="29"/>
      <c r="C745" s="29"/>
      <c r="D745" s="2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60"/>
      <c r="U745" s="160"/>
      <c r="V745" s="160"/>
      <c r="W745" s="160"/>
      <c r="X745" s="160"/>
      <c r="Y745" s="160"/>
      <c r="Z745" s="29"/>
      <c r="AA745" s="29"/>
      <c r="AB745" s="29"/>
      <c r="AC745" s="29"/>
      <c r="AD745" s="29"/>
      <c r="AE745" s="29"/>
      <c r="AF745" s="29"/>
    </row>
    <row r="746" ht="23.25" customHeight="1">
      <c r="A746" s="29"/>
      <c r="B746" s="29"/>
      <c r="C746" s="29"/>
      <c r="D746" s="2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60"/>
      <c r="U746" s="160"/>
      <c r="V746" s="160"/>
      <c r="W746" s="160"/>
      <c r="X746" s="160"/>
      <c r="Y746" s="160"/>
      <c r="Z746" s="29"/>
      <c r="AA746" s="29"/>
      <c r="AB746" s="29"/>
      <c r="AC746" s="29"/>
      <c r="AD746" s="29"/>
      <c r="AE746" s="29"/>
      <c r="AF746" s="29"/>
    </row>
    <row r="747" ht="23.25" customHeight="1">
      <c r="A747" s="29"/>
      <c r="B747" s="29"/>
      <c r="C747" s="29"/>
      <c r="D747" s="2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60"/>
      <c r="U747" s="160"/>
      <c r="V747" s="160"/>
      <c r="W747" s="160"/>
      <c r="X747" s="160"/>
      <c r="Y747" s="160"/>
      <c r="Z747" s="29"/>
      <c r="AA747" s="29"/>
      <c r="AB747" s="29"/>
      <c r="AC747" s="29"/>
      <c r="AD747" s="29"/>
      <c r="AE747" s="29"/>
      <c r="AF747" s="29"/>
    </row>
    <row r="748" ht="23.25" customHeight="1">
      <c r="A748" s="29"/>
      <c r="B748" s="29"/>
      <c r="C748" s="29"/>
      <c r="D748" s="2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60"/>
      <c r="U748" s="160"/>
      <c r="V748" s="160"/>
      <c r="W748" s="160"/>
      <c r="X748" s="160"/>
      <c r="Y748" s="160"/>
      <c r="Z748" s="29"/>
      <c r="AA748" s="29"/>
      <c r="AB748" s="29"/>
      <c r="AC748" s="29"/>
      <c r="AD748" s="29"/>
      <c r="AE748" s="29"/>
      <c r="AF748" s="29"/>
    </row>
    <row r="749" ht="23.25" customHeight="1">
      <c r="A749" s="29"/>
      <c r="B749" s="29"/>
      <c r="C749" s="29"/>
      <c r="D749" s="2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60"/>
      <c r="U749" s="160"/>
      <c r="V749" s="160"/>
      <c r="W749" s="160"/>
      <c r="X749" s="160"/>
      <c r="Y749" s="160"/>
      <c r="Z749" s="29"/>
      <c r="AA749" s="29"/>
      <c r="AB749" s="29"/>
      <c r="AC749" s="29"/>
      <c r="AD749" s="29"/>
      <c r="AE749" s="29"/>
      <c r="AF749" s="29"/>
    </row>
    <row r="750" ht="23.25" customHeight="1">
      <c r="A750" s="29"/>
      <c r="B750" s="29"/>
      <c r="C750" s="29"/>
      <c r="D750" s="2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60"/>
      <c r="U750" s="160"/>
      <c r="V750" s="160"/>
      <c r="W750" s="160"/>
      <c r="X750" s="160"/>
      <c r="Y750" s="160"/>
      <c r="Z750" s="29"/>
      <c r="AA750" s="29"/>
      <c r="AB750" s="29"/>
      <c r="AC750" s="29"/>
      <c r="AD750" s="29"/>
      <c r="AE750" s="29"/>
      <c r="AF750" s="29"/>
    </row>
    <row r="751" ht="23.25" customHeight="1">
      <c r="A751" s="29"/>
      <c r="B751" s="29"/>
      <c r="C751" s="29"/>
      <c r="D751" s="2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60"/>
      <c r="U751" s="160"/>
      <c r="V751" s="160"/>
      <c r="W751" s="160"/>
      <c r="X751" s="160"/>
      <c r="Y751" s="160"/>
      <c r="Z751" s="29"/>
      <c r="AA751" s="29"/>
      <c r="AB751" s="29"/>
      <c r="AC751" s="29"/>
      <c r="AD751" s="29"/>
      <c r="AE751" s="29"/>
      <c r="AF751" s="29"/>
    </row>
    <row r="752" ht="23.25" customHeight="1">
      <c r="A752" s="29"/>
      <c r="B752" s="29"/>
      <c r="C752" s="29"/>
      <c r="D752" s="2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60"/>
      <c r="U752" s="160"/>
      <c r="V752" s="160"/>
      <c r="W752" s="160"/>
      <c r="X752" s="160"/>
      <c r="Y752" s="160"/>
      <c r="Z752" s="29"/>
      <c r="AA752" s="29"/>
      <c r="AB752" s="29"/>
      <c r="AC752" s="29"/>
      <c r="AD752" s="29"/>
      <c r="AE752" s="29"/>
      <c r="AF752" s="29"/>
    </row>
    <row r="753" ht="23.25" customHeight="1">
      <c r="A753" s="29"/>
      <c r="B753" s="29"/>
      <c r="C753" s="29"/>
      <c r="D753" s="2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60"/>
      <c r="U753" s="160"/>
      <c r="V753" s="160"/>
      <c r="W753" s="160"/>
      <c r="X753" s="160"/>
      <c r="Y753" s="160"/>
      <c r="Z753" s="29"/>
      <c r="AA753" s="29"/>
      <c r="AB753" s="29"/>
      <c r="AC753" s="29"/>
      <c r="AD753" s="29"/>
      <c r="AE753" s="29"/>
      <c r="AF753" s="29"/>
    </row>
    <row r="754" ht="23.25" customHeight="1">
      <c r="A754" s="29"/>
      <c r="B754" s="29"/>
      <c r="C754" s="29"/>
      <c r="D754" s="2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60"/>
      <c r="U754" s="160"/>
      <c r="V754" s="160"/>
      <c r="W754" s="160"/>
      <c r="X754" s="160"/>
      <c r="Y754" s="160"/>
      <c r="Z754" s="29"/>
      <c r="AA754" s="29"/>
      <c r="AB754" s="29"/>
      <c r="AC754" s="29"/>
      <c r="AD754" s="29"/>
      <c r="AE754" s="29"/>
      <c r="AF754" s="29"/>
    </row>
    <row r="755" ht="23.25" customHeight="1">
      <c r="A755" s="29"/>
      <c r="B755" s="29"/>
      <c r="C755" s="29"/>
      <c r="D755" s="2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60"/>
      <c r="U755" s="160"/>
      <c r="V755" s="160"/>
      <c r="W755" s="160"/>
      <c r="X755" s="160"/>
      <c r="Y755" s="160"/>
      <c r="Z755" s="29"/>
      <c r="AA755" s="29"/>
      <c r="AB755" s="29"/>
      <c r="AC755" s="29"/>
      <c r="AD755" s="29"/>
      <c r="AE755" s="29"/>
      <c r="AF755" s="29"/>
    </row>
    <row r="756" ht="23.25" customHeight="1">
      <c r="A756" s="29"/>
      <c r="B756" s="29"/>
      <c r="C756" s="29"/>
      <c r="D756" s="2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60"/>
      <c r="U756" s="160"/>
      <c r="V756" s="160"/>
      <c r="W756" s="160"/>
      <c r="X756" s="160"/>
      <c r="Y756" s="160"/>
      <c r="Z756" s="29"/>
      <c r="AA756" s="29"/>
      <c r="AB756" s="29"/>
      <c r="AC756" s="29"/>
      <c r="AD756" s="29"/>
      <c r="AE756" s="29"/>
      <c r="AF756" s="29"/>
    </row>
    <row r="757" ht="23.25" customHeight="1">
      <c r="A757" s="29"/>
      <c r="B757" s="29"/>
      <c r="C757" s="29"/>
      <c r="D757" s="2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60"/>
      <c r="U757" s="160"/>
      <c r="V757" s="160"/>
      <c r="W757" s="160"/>
      <c r="X757" s="160"/>
      <c r="Y757" s="160"/>
      <c r="Z757" s="29"/>
      <c r="AA757" s="29"/>
      <c r="AB757" s="29"/>
      <c r="AC757" s="29"/>
      <c r="AD757" s="29"/>
      <c r="AE757" s="29"/>
      <c r="AF757" s="29"/>
    </row>
    <row r="758" ht="23.25" customHeight="1">
      <c r="A758" s="29"/>
      <c r="B758" s="29"/>
      <c r="C758" s="29"/>
      <c r="D758" s="2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60"/>
      <c r="U758" s="160"/>
      <c r="V758" s="160"/>
      <c r="W758" s="160"/>
      <c r="X758" s="160"/>
      <c r="Y758" s="160"/>
      <c r="Z758" s="29"/>
      <c r="AA758" s="29"/>
      <c r="AB758" s="29"/>
      <c r="AC758" s="29"/>
      <c r="AD758" s="29"/>
      <c r="AE758" s="29"/>
      <c r="AF758" s="29"/>
    </row>
    <row r="759" ht="23.25" customHeight="1">
      <c r="A759" s="29"/>
      <c r="B759" s="29"/>
      <c r="C759" s="29"/>
      <c r="D759" s="2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60"/>
      <c r="U759" s="160"/>
      <c r="V759" s="160"/>
      <c r="W759" s="160"/>
      <c r="X759" s="160"/>
      <c r="Y759" s="160"/>
      <c r="Z759" s="29"/>
      <c r="AA759" s="29"/>
      <c r="AB759" s="29"/>
      <c r="AC759" s="29"/>
      <c r="AD759" s="29"/>
      <c r="AE759" s="29"/>
      <c r="AF759" s="29"/>
    </row>
    <row r="760" ht="23.25" customHeight="1">
      <c r="A760" s="29"/>
      <c r="B760" s="29"/>
      <c r="C760" s="29"/>
      <c r="D760" s="2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60"/>
      <c r="U760" s="160"/>
      <c r="V760" s="160"/>
      <c r="W760" s="160"/>
      <c r="X760" s="160"/>
      <c r="Y760" s="160"/>
      <c r="Z760" s="29"/>
      <c r="AA760" s="29"/>
      <c r="AB760" s="29"/>
      <c r="AC760" s="29"/>
      <c r="AD760" s="29"/>
      <c r="AE760" s="29"/>
      <c r="AF760" s="29"/>
    </row>
    <row r="761" ht="23.25" customHeight="1">
      <c r="A761" s="29"/>
      <c r="B761" s="29"/>
      <c r="C761" s="29"/>
      <c r="D761" s="2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60"/>
      <c r="U761" s="160"/>
      <c r="V761" s="160"/>
      <c r="W761" s="160"/>
      <c r="X761" s="160"/>
      <c r="Y761" s="160"/>
      <c r="Z761" s="29"/>
      <c r="AA761" s="29"/>
      <c r="AB761" s="29"/>
      <c r="AC761" s="29"/>
      <c r="AD761" s="29"/>
      <c r="AE761" s="29"/>
      <c r="AF761" s="29"/>
    </row>
    <row r="762" ht="23.25" customHeight="1">
      <c r="A762" s="29"/>
      <c r="B762" s="29"/>
      <c r="C762" s="29"/>
      <c r="D762" s="2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60"/>
      <c r="U762" s="160"/>
      <c r="V762" s="160"/>
      <c r="W762" s="160"/>
      <c r="X762" s="160"/>
      <c r="Y762" s="160"/>
      <c r="Z762" s="29"/>
      <c r="AA762" s="29"/>
      <c r="AB762" s="29"/>
      <c r="AC762" s="29"/>
      <c r="AD762" s="29"/>
      <c r="AE762" s="29"/>
      <c r="AF762" s="29"/>
    </row>
    <row r="763" ht="23.25" customHeight="1">
      <c r="A763" s="29"/>
      <c r="B763" s="29"/>
      <c r="C763" s="29"/>
      <c r="D763" s="2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60"/>
      <c r="U763" s="160"/>
      <c r="V763" s="160"/>
      <c r="W763" s="160"/>
      <c r="X763" s="160"/>
      <c r="Y763" s="160"/>
      <c r="Z763" s="29"/>
      <c r="AA763" s="29"/>
      <c r="AB763" s="29"/>
      <c r="AC763" s="29"/>
      <c r="AD763" s="29"/>
      <c r="AE763" s="29"/>
      <c r="AF763" s="29"/>
    </row>
    <row r="764" ht="23.25" customHeight="1">
      <c r="A764" s="29"/>
      <c r="B764" s="29"/>
      <c r="C764" s="29"/>
      <c r="D764" s="2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60"/>
      <c r="U764" s="160"/>
      <c r="V764" s="160"/>
      <c r="W764" s="160"/>
      <c r="X764" s="160"/>
      <c r="Y764" s="160"/>
      <c r="Z764" s="29"/>
      <c r="AA764" s="29"/>
      <c r="AB764" s="29"/>
      <c r="AC764" s="29"/>
      <c r="AD764" s="29"/>
      <c r="AE764" s="29"/>
      <c r="AF764" s="29"/>
    </row>
    <row r="765" ht="23.25" customHeight="1">
      <c r="A765" s="29"/>
      <c r="B765" s="29"/>
      <c r="C765" s="29"/>
      <c r="D765" s="2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60"/>
      <c r="U765" s="160"/>
      <c r="V765" s="160"/>
      <c r="W765" s="160"/>
      <c r="X765" s="160"/>
      <c r="Y765" s="160"/>
      <c r="Z765" s="29"/>
      <c r="AA765" s="29"/>
      <c r="AB765" s="29"/>
      <c r="AC765" s="29"/>
      <c r="AD765" s="29"/>
      <c r="AE765" s="29"/>
      <c r="AF765" s="29"/>
    </row>
    <row r="766" ht="23.25" customHeight="1">
      <c r="A766" s="29"/>
      <c r="B766" s="29"/>
      <c r="C766" s="29"/>
      <c r="D766" s="2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60"/>
      <c r="U766" s="160"/>
      <c r="V766" s="160"/>
      <c r="W766" s="160"/>
      <c r="X766" s="160"/>
      <c r="Y766" s="160"/>
      <c r="Z766" s="29"/>
      <c r="AA766" s="29"/>
      <c r="AB766" s="29"/>
      <c r="AC766" s="29"/>
      <c r="AD766" s="29"/>
      <c r="AE766" s="29"/>
      <c r="AF766" s="29"/>
    </row>
    <row r="767" ht="23.25" customHeight="1">
      <c r="A767" s="29"/>
      <c r="B767" s="29"/>
      <c r="C767" s="29"/>
      <c r="D767" s="2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60"/>
      <c r="U767" s="160"/>
      <c r="V767" s="160"/>
      <c r="W767" s="160"/>
      <c r="X767" s="160"/>
      <c r="Y767" s="160"/>
      <c r="Z767" s="29"/>
      <c r="AA767" s="29"/>
      <c r="AB767" s="29"/>
      <c r="AC767" s="29"/>
      <c r="AD767" s="29"/>
      <c r="AE767" s="29"/>
      <c r="AF767" s="29"/>
    </row>
    <row r="768" ht="23.25" customHeight="1">
      <c r="A768" s="29"/>
      <c r="B768" s="29"/>
      <c r="C768" s="29"/>
      <c r="D768" s="2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60"/>
      <c r="U768" s="160"/>
      <c r="V768" s="160"/>
      <c r="W768" s="160"/>
      <c r="X768" s="160"/>
      <c r="Y768" s="160"/>
      <c r="Z768" s="29"/>
      <c r="AA768" s="29"/>
      <c r="AB768" s="29"/>
      <c r="AC768" s="29"/>
      <c r="AD768" s="29"/>
      <c r="AE768" s="29"/>
      <c r="AF768" s="29"/>
    </row>
    <row r="769" ht="23.25" customHeight="1">
      <c r="A769" s="29"/>
      <c r="B769" s="29"/>
      <c r="C769" s="29"/>
      <c r="D769" s="2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60"/>
      <c r="U769" s="160"/>
      <c r="V769" s="160"/>
      <c r="W769" s="160"/>
      <c r="X769" s="160"/>
      <c r="Y769" s="160"/>
      <c r="Z769" s="29"/>
      <c r="AA769" s="29"/>
      <c r="AB769" s="29"/>
      <c r="AC769" s="29"/>
      <c r="AD769" s="29"/>
      <c r="AE769" s="29"/>
      <c r="AF769" s="29"/>
    </row>
    <row r="770" ht="23.25" customHeight="1">
      <c r="A770" s="29"/>
      <c r="B770" s="29"/>
      <c r="C770" s="29"/>
      <c r="D770" s="2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60"/>
      <c r="U770" s="160"/>
      <c r="V770" s="160"/>
      <c r="W770" s="160"/>
      <c r="X770" s="160"/>
      <c r="Y770" s="160"/>
      <c r="Z770" s="29"/>
      <c r="AA770" s="29"/>
      <c r="AB770" s="29"/>
      <c r="AC770" s="29"/>
      <c r="AD770" s="29"/>
      <c r="AE770" s="29"/>
      <c r="AF770" s="29"/>
    </row>
    <row r="771" ht="23.25" customHeight="1">
      <c r="A771" s="29"/>
      <c r="B771" s="29"/>
      <c r="C771" s="29"/>
      <c r="D771" s="2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60"/>
      <c r="U771" s="160"/>
      <c r="V771" s="160"/>
      <c r="W771" s="160"/>
      <c r="X771" s="160"/>
      <c r="Y771" s="160"/>
      <c r="Z771" s="29"/>
      <c r="AA771" s="29"/>
      <c r="AB771" s="29"/>
      <c r="AC771" s="29"/>
      <c r="AD771" s="29"/>
      <c r="AE771" s="29"/>
      <c r="AF771" s="29"/>
    </row>
    <row r="772" ht="23.25" customHeight="1">
      <c r="A772" s="29"/>
      <c r="B772" s="29"/>
      <c r="C772" s="29"/>
      <c r="D772" s="2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60"/>
      <c r="U772" s="160"/>
      <c r="V772" s="160"/>
      <c r="W772" s="160"/>
      <c r="X772" s="160"/>
      <c r="Y772" s="160"/>
      <c r="Z772" s="29"/>
      <c r="AA772" s="29"/>
      <c r="AB772" s="29"/>
      <c r="AC772" s="29"/>
      <c r="AD772" s="29"/>
      <c r="AE772" s="29"/>
      <c r="AF772" s="29"/>
    </row>
    <row r="773" ht="23.25" customHeight="1">
      <c r="A773" s="29"/>
      <c r="B773" s="29"/>
      <c r="C773" s="29"/>
      <c r="D773" s="2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60"/>
      <c r="U773" s="160"/>
      <c r="V773" s="160"/>
      <c r="W773" s="160"/>
      <c r="X773" s="160"/>
      <c r="Y773" s="160"/>
      <c r="Z773" s="29"/>
      <c r="AA773" s="29"/>
      <c r="AB773" s="29"/>
      <c r="AC773" s="29"/>
      <c r="AD773" s="29"/>
      <c r="AE773" s="29"/>
      <c r="AF773" s="29"/>
    </row>
    <row r="774" ht="23.25" customHeight="1">
      <c r="A774" s="29"/>
      <c r="B774" s="29"/>
      <c r="C774" s="29"/>
      <c r="D774" s="2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60"/>
      <c r="U774" s="160"/>
      <c r="V774" s="160"/>
      <c r="W774" s="160"/>
      <c r="X774" s="160"/>
      <c r="Y774" s="160"/>
      <c r="Z774" s="29"/>
      <c r="AA774" s="29"/>
      <c r="AB774" s="29"/>
      <c r="AC774" s="29"/>
      <c r="AD774" s="29"/>
      <c r="AE774" s="29"/>
      <c r="AF774" s="29"/>
    </row>
    <row r="775" ht="23.25" customHeight="1">
      <c r="A775" s="29"/>
      <c r="B775" s="29"/>
      <c r="C775" s="29"/>
      <c r="D775" s="2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60"/>
      <c r="U775" s="160"/>
      <c r="V775" s="160"/>
      <c r="W775" s="160"/>
      <c r="X775" s="160"/>
      <c r="Y775" s="160"/>
      <c r="Z775" s="29"/>
      <c r="AA775" s="29"/>
      <c r="AB775" s="29"/>
      <c r="AC775" s="29"/>
      <c r="AD775" s="29"/>
      <c r="AE775" s="29"/>
      <c r="AF775" s="29"/>
    </row>
    <row r="776" ht="23.25" customHeight="1">
      <c r="A776" s="29"/>
      <c r="B776" s="29"/>
      <c r="C776" s="29"/>
      <c r="D776" s="2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60"/>
      <c r="U776" s="160"/>
      <c r="V776" s="160"/>
      <c r="W776" s="160"/>
      <c r="X776" s="160"/>
      <c r="Y776" s="160"/>
      <c r="Z776" s="29"/>
      <c r="AA776" s="29"/>
      <c r="AB776" s="29"/>
      <c r="AC776" s="29"/>
      <c r="AD776" s="29"/>
      <c r="AE776" s="29"/>
      <c r="AF776" s="29"/>
    </row>
    <row r="777" ht="23.25" customHeight="1">
      <c r="A777" s="29"/>
      <c r="B777" s="29"/>
      <c r="C777" s="29"/>
      <c r="D777" s="2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60"/>
      <c r="U777" s="160"/>
      <c r="V777" s="160"/>
      <c r="W777" s="160"/>
      <c r="X777" s="160"/>
      <c r="Y777" s="160"/>
      <c r="Z777" s="29"/>
      <c r="AA777" s="29"/>
      <c r="AB777" s="29"/>
      <c r="AC777" s="29"/>
      <c r="AD777" s="29"/>
      <c r="AE777" s="29"/>
      <c r="AF777" s="29"/>
    </row>
    <row r="778" ht="23.25" customHeight="1">
      <c r="A778" s="29"/>
      <c r="B778" s="29"/>
      <c r="C778" s="29"/>
      <c r="D778" s="2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60"/>
      <c r="U778" s="160"/>
      <c r="V778" s="160"/>
      <c r="W778" s="160"/>
      <c r="X778" s="160"/>
      <c r="Y778" s="160"/>
      <c r="Z778" s="29"/>
      <c r="AA778" s="29"/>
      <c r="AB778" s="29"/>
      <c r="AC778" s="29"/>
      <c r="AD778" s="29"/>
      <c r="AE778" s="29"/>
      <c r="AF778" s="29"/>
    </row>
    <row r="779" ht="23.25" customHeight="1">
      <c r="A779" s="29"/>
      <c r="B779" s="29"/>
      <c r="C779" s="29"/>
      <c r="D779" s="2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60"/>
      <c r="U779" s="160"/>
      <c r="V779" s="160"/>
      <c r="W779" s="160"/>
      <c r="X779" s="160"/>
      <c r="Y779" s="160"/>
      <c r="Z779" s="29"/>
      <c r="AA779" s="29"/>
      <c r="AB779" s="29"/>
      <c r="AC779" s="29"/>
      <c r="AD779" s="29"/>
      <c r="AE779" s="29"/>
      <c r="AF779" s="29"/>
    </row>
    <row r="780" ht="23.25" customHeight="1">
      <c r="A780" s="29"/>
      <c r="B780" s="29"/>
      <c r="C780" s="29"/>
      <c r="D780" s="2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60"/>
      <c r="U780" s="160"/>
      <c r="V780" s="160"/>
      <c r="W780" s="160"/>
      <c r="X780" s="160"/>
      <c r="Y780" s="160"/>
      <c r="Z780" s="29"/>
      <c r="AA780" s="29"/>
      <c r="AB780" s="29"/>
      <c r="AC780" s="29"/>
      <c r="AD780" s="29"/>
      <c r="AE780" s="29"/>
      <c r="AF780" s="29"/>
    </row>
    <row r="781" ht="23.25" customHeight="1">
      <c r="A781" s="29"/>
      <c r="B781" s="29"/>
      <c r="C781" s="29"/>
      <c r="D781" s="2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60"/>
      <c r="U781" s="160"/>
      <c r="V781" s="160"/>
      <c r="W781" s="160"/>
      <c r="X781" s="160"/>
      <c r="Y781" s="160"/>
      <c r="Z781" s="29"/>
      <c r="AA781" s="29"/>
      <c r="AB781" s="29"/>
      <c r="AC781" s="29"/>
      <c r="AD781" s="29"/>
      <c r="AE781" s="29"/>
      <c r="AF781" s="29"/>
    </row>
    <row r="782" ht="23.25" customHeight="1">
      <c r="A782" s="29"/>
      <c r="B782" s="29"/>
      <c r="C782" s="29"/>
      <c r="D782" s="2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60"/>
      <c r="U782" s="160"/>
      <c r="V782" s="160"/>
      <c r="W782" s="160"/>
      <c r="X782" s="160"/>
      <c r="Y782" s="160"/>
      <c r="Z782" s="29"/>
      <c r="AA782" s="29"/>
      <c r="AB782" s="29"/>
      <c r="AC782" s="29"/>
      <c r="AD782" s="29"/>
      <c r="AE782" s="29"/>
      <c r="AF782" s="29"/>
    </row>
    <row r="783" ht="23.25" customHeight="1">
      <c r="A783" s="29"/>
      <c r="B783" s="29"/>
      <c r="C783" s="29"/>
      <c r="D783" s="2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60"/>
      <c r="U783" s="160"/>
      <c r="V783" s="160"/>
      <c r="W783" s="160"/>
      <c r="X783" s="160"/>
      <c r="Y783" s="160"/>
      <c r="Z783" s="29"/>
      <c r="AA783" s="29"/>
      <c r="AB783" s="29"/>
      <c r="AC783" s="29"/>
      <c r="AD783" s="29"/>
      <c r="AE783" s="29"/>
      <c r="AF783" s="29"/>
    </row>
    <row r="784" ht="23.25" customHeight="1">
      <c r="A784" s="29"/>
      <c r="B784" s="29"/>
      <c r="C784" s="29"/>
      <c r="D784" s="2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60"/>
      <c r="U784" s="160"/>
      <c r="V784" s="160"/>
      <c r="W784" s="160"/>
      <c r="X784" s="160"/>
      <c r="Y784" s="160"/>
      <c r="Z784" s="29"/>
      <c r="AA784" s="29"/>
      <c r="AB784" s="29"/>
      <c r="AC784" s="29"/>
      <c r="AD784" s="29"/>
      <c r="AE784" s="29"/>
      <c r="AF784" s="29"/>
    </row>
    <row r="785" ht="23.25" customHeight="1">
      <c r="A785" s="29"/>
      <c r="B785" s="29"/>
      <c r="C785" s="29"/>
      <c r="D785" s="2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60"/>
      <c r="U785" s="160"/>
      <c r="V785" s="160"/>
      <c r="W785" s="160"/>
      <c r="X785" s="160"/>
      <c r="Y785" s="160"/>
      <c r="Z785" s="29"/>
      <c r="AA785" s="29"/>
      <c r="AB785" s="29"/>
      <c r="AC785" s="29"/>
      <c r="AD785" s="29"/>
      <c r="AE785" s="29"/>
      <c r="AF785" s="29"/>
    </row>
    <row r="786" ht="23.25" customHeight="1">
      <c r="A786" s="29"/>
      <c r="B786" s="29"/>
      <c r="C786" s="29"/>
      <c r="D786" s="2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60"/>
      <c r="U786" s="160"/>
      <c r="V786" s="160"/>
      <c r="W786" s="160"/>
      <c r="X786" s="160"/>
      <c r="Y786" s="160"/>
      <c r="Z786" s="29"/>
      <c r="AA786" s="29"/>
      <c r="AB786" s="29"/>
      <c r="AC786" s="29"/>
      <c r="AD786" s="29"/>
      <c r="AE786" s="29"/>
      <c r="AF786" s="29"/>
    </row>
    <row r="787" ht="23.25" customHeight="1">
      <c r="A787" s="29"/>
      <c r="B787" s="29"/>
      <c r="C787" s="29"/>
      <c r="D787" s="2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60"/>
      <c r="U787" s="160"/>
      <c r="V787" s="160"/>
      <c r="W787" s="160"/>
      <c r="X787" s="160"/>
      <c r="Y787" s="160"/>
      <c r="Z787" s="29"/>
      <c r="AA787" s="29"/>
      <c r="AB787" s="29"/>
      <c r="AC787" s="29"/>
      <c r="AD787" s="29"/>
      <c r="AE787" s="29"/>
      <c r="AF787" s="29"/>
    </row>
    <row r="788" ht="23.25" customHeight="1">
      <c r="A788" s="29"/>
      <c r="B788" s="29"/>
      <c r="C788" s="29"/>
      <c r="D788" s="2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60"/>
      <c r="U788" s="160"/>
      <c r="V788" s="160"/>
      <c r="W788" s="160"/>
      <c r="X788" s="160"/>
      <c r="Y788" s="160"/>
      <c r="Z788" s="29"/>
      <c r="AA788" s="29"/>
      <c r="AB788" s="29"/>
      <c r="AC788" s="29"/>
      <c r="AD788" s="29"/>
      <c r="AE788" s="29"/>
      <c r="AF788" s="29"/>
    </row>
    <row r="789" ht="23.25" customHeight="1">
      <c r="A789" s="29"/>
      <c r="B789" s="29"/>
      <c r="C789" s="29"/>
      <c r="D789" s="2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60"/>
      <c r="U789" s="160"/>
      <c r="V789" s="160"/>
      <c r="W789" s="160"/>
      <c r="X789" s="160"/>
      <c r="Y789" s="160"/>
      <c r="Z789" s="29"/>
      <c r="AA789" s="29"/>
      <c r="AB789" s="29"/>
      <c r="AC789" s="29"/>
      <c r="AD789" s="29"/>
      <c r="AE789" s="29"/>
      <c r="AF789" s="29"/>
    </row>
    <row r="790" ht="23.25" customHeight="1">
      <c r="A790" s="29"/>
      <c r="B790" s="29"/>
      <c r="C790" s="29"/>
      <c r="D790" s="2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60"/>
      <c r="U790" s="160"/>
      <c r="V790" s="160"/>
      <c r="W790" s="160"/>
      <c r="X790" s="160"/>
      <c r="Y790" s="160"/>
      <c r="Z790" s="29"/>
      <c r="AA790" s="29"/>
      <c r="AB790" s="29"/>
      <c r="AC790" s="29"/>
      <c r="AD790" s="29"/>
      <c r="AE790" s="29"/>
      <c r="AF790" s="29"/>
    </row>
    <row r="791" ht="23.25" customHeight="1">
      <c r="A791" s="29"/>
      <c r="B791" s="29"/>
      <c r="C791" s="29"/>
      <c r="D791" s="2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60"/>
      <c r="U791" s="160"/>
      <c r="V791" s="160"/>
      <c r="W791" s="160"/>
      <c r="X791" s="160"/>
      <c r="Y791" s="160"/>
      <c r="Z791" s="29"/>
      <c r="AA791" s="29"/>
      <c r="AB791" s="29"/>
      <c r="AC791" s="29"/>
      <c r="AD791" s="29"/>
      <c r="AE791" s="29"/>
      <c r="AF791" s="29"/>
    </row>
    <row r="792" ht="23.25" customHeight="1">
      <c r="A792" s="29"/>
      <c r="B792" s="29"/>
      <c r="C792" s="29"/>
      <c r="D792" s="2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60"/>
      <c r="U792" s="160"/>
      <c r="V792" s="160"/>
      <c r="W792" s="160"/>
      <c r="X792" s="160"/>
      <c r="Y792" s="160"/>
      <c r="Z792" s="29"/>
      <c r="AA792" s="29"/>
      <c r="AB792" s="29"/>
      <c r="AC792" s="29"/>
      <c r="AD792" s="29"/>
      <c r="AE792" s="29"/>
      <c r="AF792" s="29"/>
    </row>
    <row r="793" ht="23.25" customHeight="1">
      <c r="A793" s="29"/>
      <c r="B793" s="29"/>
      <c r="C793" s="29"/>
      <c r="D793" s="2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60"/>
      <c r="U793" s="160"/>
      <c r="V793" s="160"/>
      <c r="W793" s="160"/>
      <c r="X793" s="160"/>
      <c r="Y793" s="160"/>
      <c r="Z793" s="29"/>
      <c r="AA793" s="29"/>
      <c r="AB793" s="29"/>
      <c r="AC793" s="29"/>
      <c r="AD793" s="29"/>
      <c r="AE793" s="29"/>
      <c r="AF793" s="29"/>
    </row>
    <row r="794" ht="23.25" customHeight="1">
      <c r="A794" s="29"/>
      <c r="B794" s="29"/>
      <c r="C794" s="29"/>
      <c r="D794" s="2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60"/>
      <c r="U794" s="160"/>
      <c r="V794" s="160"/>
      <c r="W794" s="160"/>
      <c r="X794" s="160"/>
      <c r="Y794" s="160"/>
      <c r="Z794" s="29"/>
      <c r="AA794" s="29"/>
      <c r="AB794" s="29"/>
      <c r="AC794" s="29"/>
      <c r="AD794" s="29"/>
      <c r="AE794" s="29"/>
      <c r="AF794" s="29"/>
    </row>
    <row r="795" ht="23.25" customHeight="1">
      <c r="A795" s="29"/>
      <c r="B795" s="29"/>
      <c r="C795" s="29"/>
      <c r="D795" s="2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60"/>
      <c r="U795" s="160"/>
      <c r="V795" s="160"/>
      <c r="W795" s="160"/>
      <c r="X795" s="160"/>
      <c r="Y795" s="160"/>
      <c r="Z795" s="29"/>
      <c r="AA795" s="29"/>
      <c r="AB795" s="29"/>
      <c r="AC795" s="29"/>
      <c r="AD795" s="29"/>
      <c r="AE795" s="29"/>
      <c r="AF795" s="29"/>
    </row>
    <row r="796" ht="23.25" customHeight="1">
      <c r="A796" s="29"/>
      <c r="B796" s="29"/>
      <c r="C796" s="29"/>
      <c r="D796" s="2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60"/>
      <c r="U796" s="160"/>
      <c r="V796" s="160"/>
      <c r="W796" s="160"/>
      <c r="X796" s="160"/>
      <c r="Y796" s="160"/>
      <c r="Z796" s="29"/>
      <c r="AA796" s="29"/>
      <c r="AB796" s="29"/>
      <c r="AC796" s="29"/>
      <c r="AD796" s="29"/>
      <c r="AE796" s="29"/>
      <c r="AF796" s="29"/>
    </row>
    <row r="797" ht="23.25" customHeight="1">
      <c r="A797" s="29"/>
      <c r="B797" s="29"/>
      <c r="C797" s="29"/>
      <c r="D797" s="2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60"/>
      <c r="U797" s="160"/>
      <c r="V797" s="160"/>
      <c r="W797" s="160"/>
      <c r="X797" s="160"/>
      <c r="Y797" s="160"/>
      <c r="Z797" s="29"/>
      <c r="AA797" s="29"/>
      <c r="AB797" s="29"/>
      <c r="AC797" s="29"/>
      <c r="AD797" s="29"/>
      <c r="AE797" s="29"/>
      <c r="AF797" s="29"/>
    </row>
    <row r="798" ht="23.25" customHeight="1">
      <c r="A798" s="29"/>
      <c r="B798" s="29"/>
      <c r="C798" s="29"/>
      <c r="D798" s="2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60"/>
      <c r="U798" s="160"/>
      <c r="V798" s="160"/>
      <c r="W798" s="160"/>
      <c r="X798" s="160"/>
      <c r="Y798" s="160"/>
      <c r="Z798" s="29"/>
      <c r="AA798" s="29"/>
      <c r="AB798" s="29"/>
      <c r="AC798" s="29"/>
      <c r="AD798" s="29"/>
      <c r="AE798" s="29"/>
      <c r="AF798" s="29"/>
    </row>
    <row r="799" ht="23.25" customHeight="1">
      <c r="A799" s="29"/>
      <c r="B799" s="29"/>
      <c r="C799" s="29"/>
      <c r="D799" s="2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60"/>
      <c r="U799" s="160"/>
      <c r="V799" s="160"/>
      <c r="W799" s="160"/>
      <c r="X799" s="160"/>
      <c r="Y799" s="160"/>
      <c r="Z799" s="29"/>
      <c r="AA799" s="29"/>
      <c r="AB799" s="29"/>
      <c r="AC799" s="29"/>
      <c r="AD799" s="29"/>
      <c r="AE799" s="29"/>
      <c r="AF799" s="29"/>
    </row>
    <row r="800" ht="23.25" customHeight="1">
      <c r="A800" s="29"/>
      <c r="B800" s="29"/>
      <c r="C800" s="29"/>
      <c r="D800" s="2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60"/>
      <c r="U800" s="160"/>
      <c r="V800" s="160"/>
      <c r="W800" s="160"/>
      <c r="X800" s="160"/>
      <c r="Y800" s="160"/>
      <c r="Z800" s="29"/>
      <c r="AA800" s="29"/>
      <c r="AB800" s="29"/>
      <c r="AC800" s="29"/>
      <c r="AD800" s="29"/>
      <c r="AE800" s="29"/>
      <c r="AF800" s="29"/>
    </row>
    <row r="801" ht="23.25" customHeight="1">
      <c r="A801" s="29"/>
      <c r="B801" s="29"/>
      <c r="C801" s="29"/>
      <c r="D801" s="2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60"/>
      <c r="U801" s="160"/>
      <c r="V801" s="160"/>
      <c r="W801" s="160"/>
      <c r="X801" s="160"/>
      <c r="Y801" s="160"/>
      <c r="Z801" s="29"/>
      <c r="AA801" s="29"/>
      <c r="AB801" s="29"/>
      <c r="AC801" s="29"/>
      <c r="AD801" s="29"/>
      <c r="AE801" s="29"/>
      <c r="AF801" s="29"/>
    </row>
    <row r="802" ht="23.25" customHeight="1">
      <c r="A802" s="29"/>
      <c r="B802" s="29"/>
      <c r="C802" s="29"/>
      <c r="D802" s="2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60"/>
      <c r="U802" s="160"/>
      <c r="V802" s="160"/>
      <c r="W802" s="160"/>
      <c r="X802" s="160"/>
      <c r="Y802" s="160"/>
      <c r="Z802" s="29"/>
      <c r="AA802" s="29"/>
      <c r="AB802" s="29"/>
      <c r="AC802" s="29"/>
      <c r="AD802" s="29"/>
      <c r="AE802" s="29"/>
      <c r="AF802" s="29"/>
    </row>
    <row r="803" ht="23.25" customHeight="1">
      <c r="A803" s="29"/>
      <c r="B803" s="29"/>
      <c r="C803" s="29"/>
      <c r="D803" s="2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60"/>
      <c r="U803" s="160"/>
      <c r="V803" s="160"/>
      <c r="W803" s="160"/>
      <c r="X803" s="160"/>
      <c r="Y803" s="160"/>
      <c r="Z803" s="29"/>
      <c r="AA803" s="29"/>
      <c r="AB803" s="29"/>
      <c r="AC803" s="29"/>
      <c r="AD803" s="29"/>
      <c r="AE803" s="29"/>
      <c r="AF803" s="29"/>
    </row>
    <row r="804" ht="23.25" customHeight="1">
      <c r="A804" s="29"/>
      <c r="B804" s="29"/>
      <c r="C804" s="29"/>
      <c r="D804" s="2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60"/>
      <c r="U804" s="160"/>
      <c r="V804" s="160"/>
      <c r="W804" s="160"/>
      <c r="X804" s="160"/>
      <c r="Y804" s="160"/>
      <c r="Z804" s="29"/>
      <c r="AA804" s="29"/>
      <c r="AB804" s="29"/>
      <c r="AC804" s="29"/>
      <c r="AD804" s="29"/>
      <c r="AE804" s="29"/>
      <c r="AF804" s="29"/>
    </row>
    <row r="805" ht="23.25" customHeight="1">
      <c r="A805" s="29"/>
      <c r="B805" s="29"/>
      <c r="C805" s="29"/>
      <c r="D805" s="2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60"/>
      <c r="U805" s="160"/>
      <c r="V805" s="160"/>
      <c r="W805" s="160"/>
      <c r="X805" s="160"/>
      <c r="Y805" s="160"/>
      <c r="Z805" s="29"/>
      <c r="AA805" s="29"/>
      <c r="AB805" s="29"/>
      <c r="AC805" s="29"/>
      <c r="AD805" s="29"/>
      <c r="AE805" s="29"/>
      <c r="AF805" s="29"/>
    </row>
    <row r="806" ht="23.25" customHeight="1">
      <c r="A806" s="29"/>
      <c r="B806" s="29"/>
      <c r="C806" s="29"/>
      <c r="D806" s="2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60"/>
      <c r="U806" s="160"/>
      <c r="V806" s="160"/>
      <c r="W806" s="160"/>
      <c r="X806" s="160"/>
      <c r="Y806" s="160"/>
      <c r="Z806" s="29"/>
      <c r="AA806" s="29"/>
      <c r="AB806" s="29"/>
      <c r="AC806" s="29"/>
      <c r="AD806" s="29"/>
      <c r="AE806" s="29"/>
      <c r="AF806" s="29"/>
    </row>
    <row r="807" ht="23.25" customHeight="1">
      <c r="A807" s="29"/>
      <c r="B807" s="29"/>
      <c r="C807" s="29"/>
      <c r="D807" s="2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60"/>
      <c r="U807" s="160"/>
      <c r="V807" s="160"/>
      <c r="W807" s="160"/>
      <c r="X807" s="160"/>
      <c r="Y807" s="160"/>
      <c r="Z807" s="29"/>
      <c r="AA807" s="29"/>
      <c r="AB807" s="29"/>
      <c r="AC807" s="29"/>
      <c r="AD807" s="29"/>
      <c r="AE807" s="29"/>
      <c r="AF807" s="29"/>
    </row>
    <row r="808" ht="23.25" customHeight="1">
      <c r="A808" s="29"/>
      <c r="B808" s="29"/>
      <c r="C808" s="29"/>
      <c r="D808" s="2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60"/>
      <c r="U808" s="160"/>
      <c r="V808" s="160"/>
      <c r="W808" s="160"/>
      <c r="X808" s="160"/>
      <c r="Y808" s="160"/>
      <c r="Z808" s="29"/>
      <c r="AA808" s="29"/>
      <c r="AB808" s="29"/>
      <c r="AC808" s="29"/>
      <c r="AD808" s="29"/>
      <c r="AE808" s="29"/>
      <c r="AF808" s="29"/>
    </row>
    <row r="809" ht="23.25" customHeight="1">
      <c r="A809" s="29"/>
      <c r="B809" s="29"/>
      <c r="C809" s="29"/>
      <c r="D809" s="2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60"/>
      <c r="U809" s="160"/>
      <c r="V809" s="160"/>
      <c r="W809" s="160"/>
      <c r="X809" s="160"/>
      <c r="Y809" s="160"/>
      <c r="Z809" s="29"/>
      <c r="AA809" s="29"/>
      <c r="AB809" s="29"/>
      <c r="AC809" s="29"/>
      <c r="AD809" s="29"/>
      <c r="AE809" s="29"/>
      <c r="AF809" s="29"/>
    </row>
    <row r="810" ht="23.25" customHeight="1">
      <c r="A810" s="29"/>
      <c r="B810" s="29"/>
      <c r="C810" s="29"/>
      <c r="D810" s="2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60"/>
      <c r="U810" s="160"/>
      <c r="V810" s="160"/>
      <c r="W810" s="160"/>
      <c r="X810" s="160"/>
      <c r="Y810" s="160"/>
      <c r="Z810" s="29"/>
      <c r="AA810" s="29"/>
      <c r="AB810" s="29"/>
      <c r="AC810" s="29"/>
      <c r="AD810" s="29"/>
      <c r="AE810" s="29"/>
      <c r="AF810" s="29"/>
    </row>
    <row r="811" ht="23.25" customHeight="1">
      <c r="A811" s="29"/>
      <c r="B811" s="29"/>
      <c r="C811" s="29"/>
      <c r="D811" s="2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60"/>
      <c r="U811" s="160"/>
      <c r="V811" s="160"/>
      <c r="W811" s="160"/>
      <c r="X811" s="160"/>
      <c r="Y811" s="160"/>
      <c r="Z811" s="29"/>
      <c r="AA811" s="29"/>
      <c r="AB811" s="29"/>
      <c r="AC811" s="29"/>
      <c r="AD811" s="29"/>
      <c r="AE811" s="29"/>
      <c r="AF811" s="29"/>
    </row>
    <row r="812" ht="23.25" customHeight="1">
      <c r="A812" s="29"/>
      <c r="B812" s="29"/>
      <c r="C812" s="29"/>
      <c r="D812" s="2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60"/>
      <c r="U812" s="160"/>
      <c r="V812" s="160"/>
      <c r="W812" s="160"/>
      <c r="X812" s="160"/>
      <c r="Y812" s="160"/>
      <c r="Z812" s="29"/>
      <c r="AA812" s="29"/>
      <c r="AB812" s="29"/>
      <c r="AC812" s="29"/>
      <c r="AD812" s="29"/>
      <c r="AE812" s="29"/>
      <c r="AF812" s="29"/>
    </row>
    <row r="813" ht="23.25" customHeight="1">
      <c r="A813" s="29"/>
      <c r="B813" s="29"/>
      <c r="C813" s="29"/>
      <c r="D813" s="2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60"/>
      <c r="U813" s="160"/>
      <c r="V813" s="160"/>
      <c r="W813" s="160"/>
      <c r="X813" s="160"/>
      <c r="Y813" s="160"/>
      <c r="Z813" s="29"/>
      <c r="AA813" s="29"/>
      <c r="AB813" s="29"/>
      <c r="AC813" s="29"/>
      <c r="AD813" s="29"/>
      <c r="AE813" s="29"/>
      <c r="AF813" s="29"/>
    </row>
    <row r="814" ht="23.25" customHeight="1">
      <c r="A814" s="29"/>
      <c r="B814" s="29"/>
      <c r="C814" s="29"/>
      <c r="D814" s="2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60"/>
      <c r="U814" s="160"/>
      <c r="V814" s="160"/>
      <c r="W814" s="160"/>
      <c r="X814" s="160"/>
      <c r="Y814" s="160"/>
      <c r="Z814" s="29"/>
      <c r="AA814" s="29"/>
      <c r="AB814" s="29"/>
      <c r="AC814" s="29"/>
      <c r="AD814" s="29"/>
      <c r="AE814" s="29"/>
      <c r="AF814" s="29"/>
    </row>
    <row r="815" ht="23.25" customHeight="1">
      <c r="A815" s="29"/>
      <c r="B815" s="29"/>
      <c r="C815" s="29"/>
      <c r="D815" s="2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60"/>
      <c r="U815" s="160"/>
      <c r="V815" s="160"/>
      <c r="W815" s="160"/>
      <c r="X815" s="160"/>
      <c r="Y815" s="160"/>
      <c r="Z815" s="29"/>
      <c r="AA815" s="29"/>
      <c r="AB815" s="29"/>
      <c r="AC815" s="29"/>
      <c r="AD815" s="29"/>
      <c r="AE815" s="29"/>
      <c r="AF815" s="29"/>
    </row>
    <row r="816" ht="23.25" customHeight="1">
      <c r="A816" s="29"/>
      <c r="B816" s="29"/>
      <c r="C816" s="29"/>
      <c r="D816" s="2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60"/>
      <c r="U816" s="160"/>
      <c r="V816" s="160"/>
      <c r="W816" s="160"/>
      <c r="X816" s="160"/>
      <c r="Y816" s="160"/>
      <c r="Z816" s="29"/>
      <c r="AA816" s="29"/>
      <c r="AB816" s="29"/>
      <c r="AC816" s="29"/>
      <c r="AD816" s="29"/>
      <c r="AE816" s="29"/>
      <c r="AF816" s="29"/>
    </row>
    <row r="817" ht="23.25" customHeight="1">
      <c r="A817" s="29"/>
      <c r="B817" s="29"/>
      <c r="C817" s="29"/>
      <c r="D817" s="2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60"/>
      <c r="U817" s="160"/>
      <c r="V817" s="160"/>
      <c r="W817" s="160"/>
      <c r="X817" s="160"/>
      <c r="Y817" s="160"/>
      <c r="Z817" s="29"/>
      <c r="AA817" s="29"/>
      <c r="AB817" s="29"/>
      <c r="AC817" s="29"/>
      <c r="AD817" s="29"/>
      <c r="AE817" s="29"/>
      <c r="AF817" s="29"/>
    </row>
    <row r="818" ht="23.25" customHeight="1">
      <c r="A818" s="29"/>
      <c r="B818" s="29"/>
      <c r="C818" s="29"/>
      <c r="D818" s="2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60"/>
      <c r="U818" s="160"/>
      <c r="V818" s="160"/>
      <c r="W818" s="160"/>
      <c r="X818" s="160"/>
      <c r="Y818" s="160"/>
      <c r="Z818" s="29"/>
      <c r="AA818" s="29"/>
      <c r="AB818" s="29"/>
      <c r="AC818" s="29"/>
      <c r="AD818" s="29"/>
      <c r="AE818" s="29"/>
      <c r="AF818" s="29"/>
    </row>
    <row r="819" ht="23.25" customHeight="1">
      <c r="A819" s="29"/>
      <c r="B819" s="29"/>
      <c r="C819" s="29"/>
      <c r="D819" s="2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60"/>
      <c r="U819" s="160"/>
      <c r="V819" s="160"/>
      <c r="W819" s="160"/>
      <c r="X819" s="160"/>
      <c r="Y819" s="160"/>
      <c r="Z819" s="29"/>
      <c r="AA819" s="29"/>
      <c r="AB819" s="29"/>
      <c r="AC819" s="29"/>
      <c r="AD819" s="29"/>
      <c r="AE819" s="29"/>
      <c r="AF819" s="29"/>
    </row>
    <row r="820" ht="23.25" customHeight="1">
      <c r="A820" s="29"/>
      <c r="B820" s="29"/>
      <c r="C820" s="29"/>
      <c r="D820" s="2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60"/>
      <c r="U820" s="160"/>
      <c r="V820" s="160"/>
      <c r="W820" s="160"/>
      <c r="X820" s="160"/>
      <c r="Y820" s="160"/>
      <c r="Z820" s="29"/>
      <c r="AA820" s="29"/>
      <c r="AB820" s="29"/>
      <c r="AC820" s="29"/>
      <c r="AD820" s="29"/>
      <c r="AE820" s="29"/>
      <c r="AF820" s="29"/>
    </row>
    <row r="821" ht="23.25" customHeight="1">
      <c r="A821" s="29"/>
      <c r="B821" s="29"/>
      <c r="C821" s="29"/>
      <c r="D821" s="2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60"/>
      <c r="U821" s="160"/>
      <c r="V821" s="160"/>
      <c r="W821" s="160"/>
      <c r="X821" s="160"/>
      <c r="Y821" s="160"/>
      <c r="Z821" s="29"/>
      <c r="AA821" s="29"/>
      <c r="AB821" s="29"/>
      <c r="AC821" s="29"/>
      <c r="AD821" s="29"/>
      <c r="AE821" s="29"/>
      <c r="AF821" s="29"/>
    </row>
    <row r="822" ht="23.25" customHeight="1">
      <c r="A822" s="29"/>
      <c r="B822" s="29"/>
      <c r="C822" s="29"/>
      <c r="D822" s="2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60"/>
      <c r="U822" s="160"/>
      <c r="V822" s="160"/>
      <c r="W822" s="160"/>
      <c r="X822" s="160"/>
      <c r="Y822" s="160"/>
      <c r="Z822" s="29"/>
      <c r="AA822" s="29"/>
      <c r="AB822" s="29"/>
      <c r="AC822" s="29"/>
      <c r="AD822" s="29"/>
      <c r="AE822" s="29"/>
      <c r="AF822" s="29"/>
    </row>
    <row r="823" ht="23.25" customHeight="1">
      <c r="A823" s="29"/>
      <c r="B823" s="29"/>
      <c r="C823" s="29"/>
      <c r="D823" s="2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60"/>
      <c r="U823" s="160"/>
      <c r="V823" s="160"/>
      <c r="W823" s="160"/>
      <c r="X823" s="160"/>
      <c r="Y823" s="160"/>
      <c r="Z823" s="29"/>
      <c r="AA823" s="29"/>
      <c r="AB823" s="29"/>
      <c r="AC823" s="29"/>
      <c r="AD823" s="29"/>
      <c r="AE823" s="29"/>
      <c r="AF823" s="29"/>
    </row>
    <row r="824" ht="23.25" customHeight="1">
      <c r="A824" s="29"/>
      <c r="B824" s="29"/>
      <c r="C824" s="29"/>
      <c r="D824" s="2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60"/>
      <c r="U824" s="160"/>
      <c r="V824" s="160"/>
      <c r="W824" s="160"/>
      <c r="X824" s="160"/>
      <c r="Y824" s="160"/>
      <c r="Z824" s="29"/>
      <c r="AA824" s="29"/>
      <c r="AB824" s="29"/>
      <c r="AC824" s="29"/>
      <c r="AD824" s="29"/>
      <c r="AE824" s="29"/>
      <c r="AF824" s="29"/>
    </row>
    <row r="825" ht="23.25" customHeight="1">
      <c r="A825" s="29"/>
      <c r="B825" s="29"/>
      <c r="C825" s="29"/>
      <c r="D825" s="2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60"/>
      <c r="U825" s="160"/>
      <c r="V825" s="160"/>
      <c r="W825" s="160"/>
      <c r="X825" s="160"/>
      <c r="Y825" s="160"/>
      <c r="Z825" s="29"/>
      <c r="AA825" s="29"/>
      <c r="AB825" s="29"/>
      <c r="AC825" s="29"/>
      <c r="AD825" s="29"/>
      <c r="AE825" s="29"/>
      <c r="AF825" s="29"/>
    </row>
    <row r="826" ht="23.25" customHeight="1">
      <c r="A826" s="29"/>
      <c r="B826" s="29"/>
      <c r="C826" s="29"/>
      <c r="D826" s="2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60"/>
      <c r="U826" s="160"/>
      <c r="V826" s="160"/>
      <c r="W826" s="160"/>
      <c r="X826" s="160"/>
      <c r="Y826" s="160"/>
      <c r="Z826" s="29"/>
      <c r="AA826" s="29"/>
      <c r="AB826" s="29"/>
      <c r="AC826" s="29"/>
      <c r="AD826" s="29"/>
      <c r="AE826" s="29"/>
      <c r="AF826" s="29"/>
    </row>
    <row r="827" ht="23.25" customHeight="1">
      <c r="A827" s="29"/>
      <c r="B827" s="29"/>
      <c r="C827" s="29"/>
      <c r="D827" s="2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60"/>
      <c r="U827" s="160"/>
      <c r="V827" s="160"/>
      <c r="W827" s="160"/>
      <c r="X827" s="160"/>
      <c r="Y827" s="160"/>
      <c r="Z827" s="29"/>
      <c r="AA827" s="29"/>
      <c r="AB827" s="29"/>
      <c r="AC827" s="29"/>
      <c r="AD827" s="29"/>
      <c r="AE827" s="29"/>
      <c r="AF827" s="29"/>
    </row>
    <row r="828" ht="23.25" customHeight="1">
      <c r="A828" s="29"/>
      <c r="B828" s="29"/>
      <c r="C828" s="29"/>
      <c r="D828" s="2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60"/>
      <c r="U828" s="160"/>
      <c r="V828" s="160"/>
      <c r="W828" s="160"/>
      <c r="X828" s="160"/>
      <c r="Y828" s="160"/>
      <c r="Z828" s="29"/>
      <c r="AA828" s="29"/>
      <c r="AB828" s="29"/>
      <c r="AC828" s="29"/>
      <c r="AD828" s="29"/>
      <c r="AE828" s="29"/>
      <c r="AF828" s="29"/>
    </row>
    <row r="829" ht="23.25" customHeight="1">
      <c r="A829" s="29"/>
      <c r="B829" s="29"/>
      <c r="C829" s="29"/>
      <c r="D829" s="2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60"/>
      <c r="U829" s="160"/>
      <c r="V829" s="160"/>
      <c r="W829" s="160"/>
      <c r="X829" s="160"/>
      <c r="Y829" s="160"/>
      <c r="Z829" s="29"/>
      <c r="AA829" s="29"/>
      <c r="AB829" s="29"/>
      <c r="AC829" s="29"/>
      <c r="AD829" s="29"/>
      <c r="AE829" s="29"/>
      <c r="AF829" s="29"/>
    </row>
    <row r="830" ht="23.25" customHeight="1">
      <c r="A830" s="29"/>
      <c r="B830" s="29"/>
      <c r="C830" s="29"/>
      <c r="D830" s="2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60"/>
      <c r="U830" s="160"/>
      <c r="V830" s="160"/>
      <c r="W830" s="160"/>
      <c r="X830" s="160"/>
      <c r="Y830" s="160"/>
      <c r="Z830" s="29"/>
      <c r="AA830" s="29"/>
      <c r="AB830" s="29"/>
      <c r="AC830" s="29"/>
      <c r="AD830" s="29"/>
      <c r="AE830" s="29"/>
      <c r="AF830" s="29"/>
    </row>
    <row r="831" ht="23.25" customHeight="1">
      <c r="A831" s="29"/>
      <c r="B831" s="29"/>
      <c r="C831" s="29"/>
      <c r="D831" s="2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60"/>
      <c r="U831" s="160"/>
      <c r="V831" s="160"/>
      <c r="W831" s="160"/>
      <c r="X831" s="160"/>
      <c r="Y831" s="160"/>
      <c r="Z831" s="29"/>
      <c r="AA831" s="29"/>
      <c r="AB831" s="29"/>
      <c r="AC831" s="29"/>
      <c r="AD831" s="29"/>
      <c r="AE831" s="29"/>
      <c r="AF831" s="29"/>
    </row>
    <row r="832" ht="23.25" customHeight="1">
      <c r="A832" s="29"/>
      <c r="B832" s="29"/>
      <c r="C832" s="29"/>
      <c r="D832" s="2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60"/>
      <c r="U832" s="160"/>
      <c r="V832" s="160"/>
      <c r="W832" s="160"/>
      <c r="X832" s="160"/>
      <c r="Y832" s="160"/>
      <c r="Z832" s="29"/>
      <c r="AA832" s="29"/>
      <c r="AB832" s="29"/>
      <c r="AC832" s="29"/>
      <c r="AD832" s="29"/>
      <c r="AE832" s="29"/>
      <c r="AF832" s="29"/>
    </row>
    <row r="833" ht="23.25" customHeight="1">
      <c r="A833" s="29"/>
      <c r="B833" s="29"/>
      <c r="C833" s="29"/>
      <c r="D833" s="2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60"/>
      <c r="U833" s="160"/>
      <c r="V833" s="160"/>
      <c r="W833" s="160"/>
      <c r="X833" s="160"/>
      <c r="Y833" s="160"/>
      <c r="Z833" s="29"/>
      <c r="AA833" s="29"/>
      <c r="AB833" s="29"/>
      <c r="AC833" s="29"/>
      <c r="AD833" s="29"/>
      <c r="AE833" s="29"/>
      <c r="AF833" s="29"/>
    </row>
    <row r="834" ht="23.25" customHeight="1">
      <c r="A834" s="29"/>
      <c r="B834" s="29"/>
      <c r="C834" s="29"/>
      <c r="D834" s="2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60"/>
      <c r="U834" s="160"/>
      <c r="V834" s="160"/>
      <c r="W834" s="160"/>
      <c r="X834" s="160"/>
      <c r="Y834" s="160"/>
      <c r="Z834" s="29"/>
      <c r="AA834" s="29"/>
      <c r="AB834" s="29"/>
      <c r="AC834" s="29"/>
      <c r="AD834" s="29"/>
      <c r="AE834" s="29"/>
      <c r="AF834" s="29"/>
    </row>
    <row r="835" ht="23.25" customHeight="1">
      <c r="A835" s="29"/>
      <c r="B835" s="29"/>
      <c r="C835" s="29"/>
      <c r="D835" s="2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60"/>
      <c r="U835" s="160"/>
      <c r="V835" s="160"/>
      <c r="W835" s="160"/>
      <c r="X835" s="160"/>
      <c r="Y835" s="160"/>
      <c r="Z835" s="29"/>
      <c r="AA835" s="29"/>
      <c r="AB835" s="29"/>
      <c r="AC835" s="29"/>
      <c r="AD835" s="29"/>
      <c r="AE835" s="29"/>
      <c r="AF835" s="29"/>
    </row>
    <row r="836" ht="23.25" customHeight="1">
      <c r="A836" s="29"/>
      <c r="B836" s="29"/>
      <c r="C836" s="29"/>
      <c r="D836" s="2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60"/>
      <c r="U836" s="160"/>
      <c r="V836" s="160"/>
      <c r="W836" s="160"/>
      <c r="X836" s="160"/>
      <c r="Y836" s="160"/>
      <c r="Z836" s="29"/>
      <c r="AA836" s="29"/>
      <c r="AB836" s="29"/>
      <c r="AC836" s="29"/>
      <c r="AD836" s="29"/>
      <c r="AE836" s="29"/>
      <c r="AF836" s="29"/>
    </row>
    <row r="837" ht="23.25" customHeight="1">
      <c r="A837" s="29"/>
      <c r="B837" s="29"/>
      <c r="C837" s="29"/>
      <c r="D837" s="2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60"/>
      <c r="U837" s="160"/>
      <c r="V837" s="160"/>
      <c r="W837" s="160"/>
      <c r="X837" s="160"/>
      <c r="Y837" s="160"/>
      <c r="Z837" s="29"/>
      <c r="AA837" s="29"/>
      <c r="AB837" s="29"/>
      <c r="AC837" s="29"/>
      <c r="AD837" s="29"/>
      <c r="AE837" s="29"/>
      <c r="AF837" s="29"/>
    </row>
    <row r="838" ht="23.25" customHeight="1">
      <c r="A838" s="29"/>
      <c r="B838" s="29"/>
      <c r="C838" s="29"/>
      <c r="D838" s="2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60"/>
      <c r="U838" s="160"/>
      <c r="V838" s="160"/>
      <c r="W838" s="160"/>
      <c r="X838" s="160"/>
      <c r="Y838" s="160"/>
      <c r="Z838" s="29"/>
      <c r="AA838" s="29"/>
      <c r="AB838" s="29"/>
      <c r="AC838" s="29"/>
      <c r="AD838" s="29"/>
      <c r="AE838" s="29"/>
      <c r="AF838" s="29"/>
    </row>
    <row r="839" ht="23.25" customHeight="1">
      <c r="A839" s="29"/>
      <c r="B839" s="29"/>
      <c r="C839" s="29"/>
      <c r="D839" s="2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60"/>
      <c r="U839" s="160"/>
      <c r="V839" s="160"/>
      <c r="W839" s="160"/>
      <c r="X839" s="160"/>
      <c r="Y839" s="160"/>
      <c r="Z839" s="29"/>
      <c r="AA839" s="29"/>
      <c r="AB839" s="29"/>
      <c r="AC839" s="29"/>
      <c r="AD839" s="29"/>
      <c r="AE839" s="29"/>
      <c r="AF839" s="29"/>
    </row>
    <row r="840" ht="23.25" customHeight="1">
      <c r="A840" s="29"/>
      <c r="B840" s="29"/>
      <c r="C840" s="29"/>
      <c r="D840" s="2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60"/>
      <c r="U840" s="160"/>
      <c r="V840" s="160"/>
      <c r="W840" s="160"/>
      <c r="X840" s="160"/>
      <c r="Y840" s="160"/>
      <c r="Z840" s="29"/>
      <c r="AA840" s="29"/>
      <c r="AB840" s="29"/>
      <c r="AC840" s="29"/>
      <c r="AD840" s="29"/>
      <c r="AE840" s="29"/>
      <c r="AF840" s="29"/>
    </row>
    <row r="841" ht="23.25" customHeight="1">
      <c r="A841" s="29"/>
      <c r="B841" s="29"/>
      <c r="C841" s="29"/>
      <c r="D841" s="2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60"/>
      <c r="U841" s="160"/>
      <c r="V841" s="160"/>
      <c r="W841" s="160"/>
      <c r="X841" s="160"/>
      <c r="Y841" s="160"/>
      <c r="Z841" s="29"/>
      <c r="AA841" s="29"/>
      <c r="AB841" s="29"/>
      <c r="AC841" s="29"/>
      <c r="AD841" s="29"/>
      <c r="AE841" s="29"/>
      <c r="AF841" s="29"/>
    </row>
    <row r="842" ht="23.25" customHeight="1">
      <c r="A842" s="29"/>
      <c r="B842" s="29"/>
      <c r="C842" s="29"/>
      <c r="D842" s="2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60"/>
      <c r="U842" s="160"/>
      <c r="V842" s="160"/>
      <c r="W842" s="160"/>
      <c r="X842" s="160"/>
      <c r="Y842" s="160"/>
      <c r="Z842" s="29"/>
      <c r="AA842" s="29"/>
      <c r="AB842" s="29"/>
      <c r="AC842" s="29"/>
      <c r="AD842" s="29"/>
      <c r="AE842" s="29"/>
      <c r="AF842" s="29"/>
    </row>
    <row r="843" ht="23.25" customHeight="1">
      <c r="A843" s="29"/>
      <c r="B843" s="29"/>
      <c r="C843" s="29"/>
      <c r="D843" s="2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60"/>
      <c r="U843" s="160"/>
      <c r="V843" s="160"/>
      <c r="W843" s="160"/>
      <c r="X843" s="160"/>
      <c r="Y843" s="160"/>
      <c r="Z843" s="29"/>
      <c r="AA843" s="29"/>
      <c r="AB843" s="29"/>
      <c r="AC843" s="29"/>
      <c r="AD843" s="29"/>
      <c r="AE843" s="29"/>
      <c r="AF843" s="29"/>
    </row>
    <row r="844" ht="23.25" customHeight="1">
      <c r="A844" s="29"/>
      <c r="B844" s="29"/>
      <c r="C844" s="29"/>
      <c r="D844" s="2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60"/>
      <c r="U844" s="160"/>
      <c r="V844" s="160"/>
      <c r="W844" s="160"/>
      <c r="X844" s="160"/>
      <c r="Y844" s="160"/>
      <c r="Z844" s="29"/>
      <c r="AA844" s="29"/>
      <c r="AB844" s="29"/>
      <c r="AC844" s="29"/>
      <c r="AD844" s="29"/>
      <c r="AE844" s="29"/>
      <c r="AF844" s="29"/>
    </row>
    <row r="845" ht="23.25" customHeight="1">
      <c r="A845" s="29"/>
      <c r="B845" s="29"/>
      <c r="C845" s="29"/>
      <c r="D845" s="2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60"/>
      <c r="U845" s="160"/>
      <c r="V845" s="160"/>
      <c r="W845" s="160"/>
      <c r="X845" s="160"/>
      <c r="Y845" s="160"/>
      <c r="Z845" s="29"/>
      <c r="AA845" s="29"/>
      <c r="AB845" s="29"/>
      <c r="AC845" s="29"/>
      <c r="AD845" s="29"/>
      <c r="AE845" s="29"/>
      <c r="AF845" s="29"/>
    </row>
    <row r="846" ht="23.25" customHeight="1">
      <c r="A846" s="29"/>
      <c r="B846" s="29"/>
      <c r="C846" s="29"/>
      <c r="D846" s="2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60"/>
      <c r="U846" s="160"/>
      <c r="V846" s="160"/>
      <c r="W846" s="160"/>
      <c r="X846" s="160"/>
      <c r="Y846" s="160"/>
      <c r="Z846" s="29"/>
      <c r="AA846" s="29"/>
      <c r="AB846" s="29"/>
      <c r="AC846" s="29"/>
      <c r="AD846" s="29"/>
      <c r="AE846" s="29"/>
      <c r="AF846" s="29"/>
    </row>
    <row r="847" ht="23.25" customHeight="1">
      <c r="A847" s="29"/>
      <c r="B847" s="29"/>
      <c r="C847" s="29"/>
      <c r="D847" s="2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60"/>
      <c r="U847" s="160"/>
      <c r="V847" s="160"/>
      <c r="W847" s="160"/>
      <c r="X847" s="160"/>
      <c r="Y847" s="160"/>
      <c r="Z847" s="29"/>
      <c r="AA847" s="29"/>
      <c r="AB847" s="29"/>
      <c r="AC847" s="29"/>
      <c r="AD847" s="29"/>
      <c r="AE847" s="29"/>
      <c r="AF847" s="29"/>
    </row>
    <row r="848" ht="23.25" customHeight="1">
      <c r="A848" s="29"/>
      <c r="B848" s="29"/>
      <c r="C848" s="29"/>
      <c r="D848" s="2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60"/>
      <c r="U848" s="160"/>
      <c r="V848" s="160"/>
      <c r="W848" s="160"/>
      <c r="X848" s="160"/>
      <c r="Y848" s="160"/>
      <c r="Z848" s="29"/>
      <c r="AA848" s="29"/>
      <c r="AB848" s="29"/>
      <c r="AC848" s="29"/>
      <c r="AD848" s="29"/>
      <c r="AE848" s="29"/>
      <c r="AF848" s="29"/>
    </row>
    <row r="849" ht="23.25" customHeight="1">
      <c r="A849" s="29"/>
      <c r="B849" s="29"/>
      <c r="C849" s="29"/>
      <c r="D849" s="2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60"/>
      <c r="U849" s="160"/>
      <c r="V849" s="160"/>
      <c r="W849" s="160"/>
      <c r="X849" s="160"/>
      <c r="Y849" s="160"/>
      <c r="Z849" s="29"/>
      <c r="AA849" s="29"/>
      <c r="AB849" s="29"/>
      <c r="AC849" s="29"/>
      <c r="AD849" s="29"/>
      <c r="AE849" s="29"/>
      <c r="AF849" s="29"/>
    </row>
    <row r="850" ht="23.25" customHeight="1">
      <c r="A850" s="29"/>
      <c r="B850" s="29"/>
      <c r="C850" s="29"/>
      <c r="D850" s="2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60"/>
      <c r="U850" s="160"/>
      <c r="V850" s="160"/>
      <c r="W850" s="160"/>
      <c r="X850" s="160"/>
      <c r="Y850" s="160"/>
      <c r="Z850" s="29"/>
      <c r="AA850" s="29"/>
      <c r="AB850" s="29"/>
      <c r="AC850" s="29"/>
      <c r="AD850" s="29"/>
      <c r="AE850" s="29"/>
      <c r="AF850" s="29"/>
    </row>
    <row r="851" ht="23.25" customHeight="1">
      <c r="A851" s="29"/>
      <c r="B851" s="29"/>
      <c r="C851" s="29"/>
      <c r="D851" s="2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60"/>
      <c r="U851" s="160"/>
      <c r="V851" s="160"/>
      <c r="W851" s="160"/>
      <c r="X851" s="160"/>
      <c r="Y851" s="160"/>
      <c r="Z851" s="29"/>
      <c r="AA851" s="29"/>
      <c r="AB851" s="29"/>
      <c r="AC851" s="29"/>
      <c r="AD851" s="29"/>
      <c r="AE851" s="29"/>
      <c r="AF851" s="29"/>
    </row>
    <row r="852" ht="23.25" customHeight="1">
      <c r="A852" s="29"/>
      <c r="B852" s="29"/>
      <c r="C852" s="29"/>
      <c r="D852" s="2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60"/>
      <c r="U852" s="160"/>
      <c r="V852" s="160"/>
      <c r="W852" s="160"/>
      <c r="X852" s="160"/>
      <c r="Y852" s="160"/>
      <c r="Z852" s="29"/>
      <c r="AA852" s="29"/>
      <c r="AB852" s="29"/>
      <c r="AC852" s="29"/>
      <c r="AD852" s="29"/>
      <c r="AE852" s="29"/>
      <c r="AF852" s="29"/>
    </row>
    <row r="853" ht="23.25" customHeight="1">
      <c r="A853" s="29"/>
      <c r="B853" s="29"/>
      <c r="C853" s="29"/>
      <c r="D853" s="2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60"/>
      <c r="U853" s="160"/>
      <c r="V853" s="160"/>
      <c r="W853" s="160"/>
      <c r="X853" s="160"/>
      <c r="Y853" s="160"/>
      <c r="Z853" s="29"/>
      <c r="AA853" s="29"/>
      <c r="AB853" s="29"/>
      <c r="AC853" s="29"/>
      <c r="AD853" s="29"/>
      <c r="AE853" s="29"/>
      <c r="AF853" s="29"/>
    </row>
    <row r="854" ht="23.25" customHeight="1">
      <c r="A854" s="29"/>
      <c r="B854" s="29"/>
      <c r="C854" s="29"/>
      <c r="D854" s="2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60"/>
      <c r="U854" s="160"/>
      <c r="V854" s="160"/>
      <c r="W854" s="160"/>
      <c r="X854" s="160"/>
      <c r="Y854" s="160"/>
      <c r="Z854" s="29"/>
      <c r="AA854" s="29"/>
      <c r="AB854" s="29"/>
      <c r="AC854" s="29"/>
      <c r="AD854" s="29"/>
      <c r="AE854" s="29"/>
      <c r="AF854" s="29"/>
    </row>
    <row r="855" ht="23.25" customHeight="1">
      <c r="A855" s="29"/>
      <c r="B855" s="29"/>
      <c r="C855" s="29"/>
      <c r="D855" s="2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60"/>
      <c r="U855" s="160"/>
      <c r="V855" s="160"/>
      <c r="W855" s="160"/>
      <c r="X855" s="160"/>
      <c r="Y855" s="160"/>
      <c r="Z855" s="29"/>
      <c r="AA855" s="29"/>
      <c r="AB855" s="29"/>
      <c r="AC855" s="29"/>
      <c r="AD855" s="29"/>
      <c r="AE855" s="29"/>
      <c r="AF855" s="29"/>
    </row>
    <row r="856" ht="23.25" customHeight="1">
      <c r="A856" s="29"/>
      <c r="B856" s="29"/>
      <c r="C856" s="29"/>
      <c r="D856" s="2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60"/>
      <c r="U856" s="160"/>
      <c r="V856" s="160"/>
      <c r="W856" s="160"/>
      <c r="X856" s="160"/>
      <c r="Y856" s="160"/>
      <c r="Z856" s="29"/>
      <c r="AA856" s="29"/>
      <c r="AB856" s="29"/>
      <c r="AC856" s="29"/>
      <c r="AD856" s="29"/>
      <c r="AE856" s="29"/>
      <c r="AF856" s="29"/>
    </row>
    <row r="857" ht="23.25" customHeight="1">
      <c r="A857" s="29"/>
      <c r="B857" s="29"/>
      <c r="C857" s="29"/>
      <c r="D857" s="2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60"/>
      <c r="U857" s="160"/>
      <c r="V857" s="160"/>
      <c r="W857" s="160"/>
      <c r="X857" s="160"/>
      <c r="Y857" s="160"/>
      <c r="Z857" s="29"/>
      <c r="AA857" s="29"/>
      <c r="AB857" s="29"/>
      <c r="AC857" s="29"/>
      <c r="AD857" s="29"/>
      <c r="AE857" s="29"/>
      <c r="AF857" s="29"/>
    </row>
    <row r="858" ht="23.25" customHeight="1">
      <c r="A858" s="29"/>
      <c r="B858" s="29"/>
      <c r="C858" s="29"/>
      <c r="D858" s="2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60"/>
      <c r="U858" s="160"/>
      <c r="V858" s="160"/>
      <c r="W858" s="160"/>
      <c r="X858" s="160"/>
      <c r="Y858" s="160"/>
      <c r="Z858" s="29"/>
      <c r="AA858" s="29"/>
      <c r="AB858" s="29"/>
      <c r="AC858" s="29"/>
      <c r="AD858" s="29"/>
      <c r="AE858" s="29"/>
      <c r="AF858" s="29"/>
    </row>
    <row r="859" ht="23.25" customHeight="1">
      <c r="A859" s="29"/>
      <c r="B859" s="29"/>
      <c r="C859" s="29"/>
      <c r="D859" s="2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60"/>
      <c r="U859" s="160"/>
      <c r="V859" s="160"/>
      <c r="W859" s="160"/>
      <c r="X859" s="160"/>
      <c r="Y859" s="160"/>
      <c r="Z859" s="29"/>
      <c r="AA859" s="29"/>
      <c r="AB859" s="29"/>
      <c r="AC859" s="29"/>
      <c r="AD859" s="29"/>
      <c r="AE859" s="29"/>
      <c r="AF859" s="29"/>
    </row>
    <row r="860" ht="23.25" customHeight="1">
      <c r="A860" s="29"/>
      <c r="B860" s="29"/>
      <c r="C860" s="29"/>
      <c r="D860" s="2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60"/>
      <c r="U860" s="160"/>
      <c r="V860" s="160"/>
      <c r="W860" s="160"/>
      <c r="X860" s="160"/>
      <c r="Y860" s="160"/>
      <c r="Z860" s="29"/>
      <c r="AA860" s="29"/>
      <c r="AB860" s="29"/>
      <c r="AC860" s="29"/>
      <c r="AD860" s="29"/>
      <c r="AE860" s="29"/>
      <c r="AF860" s="29"/>
    </row>
    <row r="861" ht="23.25" customHeight="1">
      <c r="A861" s="29"/>
      <c r="B861" s="29"/>
      <c r="C861" s="29"/>
      <c r="D861" s="2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60"/>
      <c r="U861" s="160"/>
      <c r="V861" s="160"/>
      <c r="W861" s="160"/>
      <c r="X861" s="160"/>
      <c r="Y861" s="160"/>
      <c r="Z861" s="29"/>
      <c r="AA861" s="29"/>
      <c r="AB861" s="29"/>
      <c r="AC861" s="29"/>
      <c r="AD861" s="29"/>
      <c r="AE861" s="29"/>
      <c r="AF861" s="29"/>
    </row>
    <row r="862" ht="23.25" customHeight="1">
      <c r="A862" s="29"/>
      <c r="B862" s="29"/>
      <c r="C862" s="29"/>
      <c r="D862" s="2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60"/>
      <c r="U862" s="160"/>
      <c r="V862" s="160"/>
      <c r="W862" s="160"/>
      <c r="X862" s="160"/>
      <c r="Y862" s="160"/>
      <c r="Z862" s="29"/>
      <c r="AA862" s="29"/>
      <c r="AB862" s="29"/>
      <c r="AC862" s="29"/>
      <c r="AD862" s="29"/>
      <c r="AE862" s="29"/>
      <c r="AF862" s="29"/>
    </row>
    <row r="863" ht="23.25" customHeight="1">
      <c r="A863" s="29"/>
      <c r="B863" s="29"/>
      <c r="C863" s="29"/>
      <c r="D863" s="2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60"/>
      <c r="U863" s="160"/>
      <c r="V863" s="160"/>
      <c r="W863" s="160"/>
      <c r="X863" s="160"/>
      <c r="Y863" s="160"/>
      <c r="Z863" s="29"/>
      <c r="AA863" s="29"/>
      <c r="AB863" s="29"/>
      <c r="AC863" s="29"/>
      <c r="AD863" s="29"/>
      <c r="AE863" s="29"/>
      <c r="AF863" s="29"/>
    </row>
    <row r="864" ht="23.25" customHeight="1">
      <c r="A864" s="29"/>
      <c r="B864" s="29"/>
      <c r="C864" s="29"/>
      <c r="D864" s="2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60"/>
      <c r="U864" s="160"/>
      <c r="V864" s="160"/>
      <c r="W864" s="160"/>
      <c r="X864" s="160"/>
      <c r="Y864" s="160"/>
      <c r="Z864" s="29"/>
      <c r="AA864" s="29"/>
      <c r="AB864" s="29"/>
      <c r="AC864" s="29"/>
      <c r="AD864" s="29"/>
      <c r="AE864" s="29"/>
      <c r="AF864" s="29"/>
    </row>
    <row r="865" ht="23.25" customHeight="1">
      <c r="A865" s="29"/>
      <c r="B865" s="29"/>
      <c r="C865" s="29"/>
      <c r="D865" s="2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60"/>
      <c r="U865" s="160"/>
      <c r="V865" s="160"/>
      <c r="W865" s="160"/>
      <c r="X865" s="160"/>
      <c r="Y865" s="160"/>
      <c r="Z865" s="29"/>
      <c r="AA865" s="29"/>
      <c r="AB865" s="29"/>
      <c r="AC865" s="29"/>
      <c r="AD865" s="29"/>
      <c r="AE865" s="29"/>
      <c r="AF865" s="29"/>
    </row>
    <row r="866" ht="23.25" customHeight="1">
      <c r="A866" s="29"/>
      <c r="B866" s="29"/>
      <c r="C866" s="29"/>
      <c r="D866" s="2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60"/>
      <c r="U866" s="160"/>
      <c r="V866" s="160"/>
      <c r="W866" s="160"/>
      <c r="X866" s="160"/>
      <c r="Y866" s="160"/>
      <c r="Z866" s="29"/>
      <c r="AA866" s="29"/>
      <c r="AB866" s="29"/>
      <c r="AC866" s="29"/>
      <c r="AD866" s="29"/>
      <c r="AE866" s="29"/>
      <c r="AF866" s="29"/>
    </row>
    <row r="867" ht="23.25" customHeight="1">
      <c r="A867" s="29"/>
      <c r="B867" s="29"/>
      <c r="C867" s="29"/>
      <c r="D867" s="2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60"/>
      <c r="U867" s="160"/>
      <c r="V867" s="160"/>
      <c r="W867" s="160"/>
      <c r="X867" s="160"/>
      <c r="Y867" s="160"/>
      <c r="Z867" s="29"/>
      <c r="AA867" s="29"/>
      <c r="AB867" s="29"/>
      <c r="AC867" s="29"/>
      <c r="AD867" s="29"/>
      <c r="AE867" s="29"/>
      <c r="AF867" s="29"/>
    </row>
    <row r="868" ht="23.25" customHeight="1">
      <c r="A868" s="29"/>
      <c r="B868" s="29"/>
      <c r="C868" s="29"/>
      <c r="D868" s="2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60"/>
      <c r="U868" s="160"/>
      <c r="V868" s="160"/>
      <c r="W868" s="160"/>
      <c r="X868" s="160"/>
      <c r="Y868" s="160"/>
      <c r="Z868" s="29"/>
      <c r="AA868" s="29"/>
      <c r="AB868" s="29"/>
      <c r="AC868" s="29"/>
      <c r="AD868" s="29"/>
      <c r="AE868" s="29"/>
      <c r="AF868" s="29"/>
    </row>
    <row r="869" ht="23.25" customHeight="1">
      <c r="A869" s="29"/>
      <c r="B869" s="29"/>
      <c r="C869" s="29"/>
      <c r="D869" s="2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60"/>
      <c r="U869" s="160"/>
      <c r="V869" s="160"/>
      <c r="W869" s="160"/>
      <c r="X869" s="160"/>
      <c r="Y869" s="160"/>
      <c r="Z869" s="29"/>
      <c r="AA869" s="29"/>
      <c r="AB869" s="29"/>
      <c r="AC869" s="29"/>
      <c r="AD869" s="29"/>
      <c r="AE869" s="29"/>
      <c r="AF869" s="29"/>
    </row>
    <row r="870" ht="23.25" customHeight="1">
      <c r="A870" s="29"/>
      <c r="B870" s="29"/>
      <c r="C870" s="29"/>
      <c r="D870" s="2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60"/>
      <c r="U870" s="160"/>
      <c r="V870" s="160"/>
      <c r="W870" s="160"/>
      <c r="X870" s="160"/>
      <c r="Y870" s="160"/>
      <c r="Z870" s="29"/>
      <c r="AA870" s="29"/>
      <c r="AB870" s="29"/>
      <c r="AC870" s="29"/>
      <c r="AD870" s="29"/>
      <c r="AE870" s="29"/>
      <c r="AF870" s="29"/>
    </row>
    <row r="871" ht="23.25" customHeight="1">
      <c r="A871" s="29"/>
      <c r="B871" s="29"/>
      <c r="C871" s="29"/>
      <c r="D871" s="2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60"/>
      <c r="U871" s="160"/>
      <c r="V871" s="160"/>
      <c r="W871" s="160"/>
      <c r="X871" s="160"/>
      <c r="Y871" s="160"/>
      <c r="Z871" s="29"/>
      <c r="AA871" s="29"/>
      <c r="AB871" s="29"/>
      <c r="AC871" s="29"/>
      <c r="AD871" s="29"/>
      <c r="AE871" s="29"/>
      <c r="AF871" s="29"/>
    </row>
    <row r="872" ht="23.25" customHeight="1">
      <c r="A872" s="29"/>
      <c r="B872" s="29"/>
      <c r="C872" s="29"/>
      <c r="D872" s="2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60"/>
      <c r="U872" s="160"/>
      <c r="V872" s="160"/>
      <c r="W872" s="160"/>
      <c r="X872" s="160"/>
      <c r="Y872" s="160"/>
      <c r="Z872" s="29"/>
      <c r="AA872" s="29"/>
      <c r="AB872" s="29"/>
      <c r="AC872" s="29"/>
      <c r="AD872" s="29"/>
      <c r="AE872" s="29"/>
      <c r="AF872" s="29"/>
    </row>
    <row r="873" ht="23.25" customHeight="1">
      <c r="A873" s="29"/>
      <c r="B873" s="29"/>
      <c r="C873" s="29"/>
      <c r="D873" s="2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60"/>
      <c r="U873" s="160"/>
      <c r="V873" s="160"/>
      <c r="W873" s="160"/>
      <c r="X873" s="160"/>
      <c r="Y873" s="160"/>
      <c r="Z873" s="29"/>
      <c r="AA873" s="29"/>
      <c r="AB873" s="29"/>
      <c r="AC873" s="29"/>
      <c r="AD873" s="29"/>
      <c r="AE873" s="29"/>
      <c r="AF873" s="29"/>
    </row>
    <row r="874" ht="23.25" customHeight="1">
      <c r="A874" s="29"/>
      <c r="B874" s="29"/>
      <c r="C874" s="29"/>
      <c r="D874" s="2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60"/>
      <c r="U874" s="160"/>
      <c r="V874" s="160"/>
      <c r="W874" s="160"/>
      <c r="X874" s="160"/>
      <c r="Y874" s="160"/>
      <c r="Z874" s="29"/>
      <c r="AA874" s="29"/>
      <c r="AB874" s="29"/>
      <c r="AC874" s="29"/>
      <c r="AD874" s="29"/>
      <c r="AE874" s="29"/>
      <c r="AF874" s="29"/>
    </row>
    <row r="875" ht="23.25" customHeight="1">
      <c r="A875" s="29"/>
      <c r="B875" s="29"/>
      <c r="C875" s="29"/>
      <c r="D875" s="2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60"/>
      <c r="U875" s="160"/>
      <c r="V875" s="160"/>
      <c r="W875" s="160"/>
      <c r="X875" s="160"/>
      <c r="Y875" s="160"/>
      <c r="Z875" s="29"/>
      <c r="AA875" s="29"/>
      <c r="AB875" s="29"/>
      <c r="AC875" s="29"/>
      <c r="AD875" s="29"/>
      <c r="AE875" s="29"/>
      <c r="AF875" s="29"/>
    </row>
    <row r="876" ht="23.25" customHeight="1">
      <c r="A876" s="29"/>
      <c r="B876" s="29"/>
      <c r="C876" s="29"/>
      <c r="D876" s="2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60"/>
      <c r="U876" s="160"/>
      <c r="V876" s="160"/>
      <c r="W876" s="160"/>
      <c r="X876" s="160"/>
      <c r="Y876" s="160"/>
      <c r="Z876" s="29"/>
      <c r="AA876" s="29"/>
      <c r="AB876" s="29"/>
      <c r="AC876" s="29"/>
      <c r="AD876" s="29"/>
      <c r="AE876" s="29"/>
      <c r="AF876" s="29"/>
    </row>
    <row r="877" ht="23.25" customHeight="1">
      <c r="A877" s="29"/>
      <c r="B877" s="29"/>
      <c r="C877" s="29"/>
      <c r="D877" s="2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60"/>
      <c r="U877" s="160"/>
      <c r="V877" s="160"/>
      <c r="W877" s="160"/>
      <c r="X877" s="160"/>
      <c r="Y877" s="160"/>
      <c r="Z877" s="29"/>
      <c r="AA877" s="29"/>
      <c r="AB877" s="29"/>
      <c r="AC877" s="29"/>
      <c r="AD877" s="29"/>
      <c r="AE877" s="29"/>
      <c r="AF877" s="29"/>
    </row>
    <row r="878" ht="23.25" customHeight="1">
      <c r="A878" s="29"/>
      <c r="B878" s="29"/>
      <c r="C878" s="29"/>
      <c r="D878" s="2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60"/>
      <c r="U878" s="160"/>
      <c r="V878" s="160"/>
      <c r="W878" s="160"/>
      <c r="X878" s="160"/>
      <c r="Y878" s="160"/>
      <c r="Z878" s="29"/>
      <c r="AA878" s="29"/>
      <c r="AB878" s="29"/>
      <c r="AC878" s="29"/>
      <c r="AD878" s="29"/>
      <c r="AE878" s="29"/>
      <c r="AF878" s="29"/>
    </row>
    <row r="879" ht="23.25" customHeight="1">
      <c r="A879" s="29"/>
      <c r="B879" s="29"/>
      <c r="C879" s="29"/>
      <c r="D879" s="2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60"/>
      <c r="U879" s="160"/>
      <c r="V879" s="160"/>
      <c r="W879" s="160"/>
      <c r="X879" s="160"/>
      <c r="Y879" s="160"/>
      <c r="Z879" s="29"/>
      <c r="AA879" s="29"/>
      <c r="AB879" s="29"/>
      <c r="AC879" s="29"/>
      <c r="AD879" s="29"/>
      <c r="AE879" s="29"/>
      <c r="AF879" s="29"/>
    </row>
    <row r="880" ht="23.25" customHeight="1">
      <c r="A880" s="29"/>
      <c r="B880" s="29"/>
      <c r="C880" s="29"/>
      <c r="D880" s="2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60"/>
      <c r="U880" s="160"/>
      <c r="V880" s="160"/>
      <c r="W880" s="160"/>
      <c r="X880" s="160"/>
      <c r="Y880" s="160"/>
      <c r="Z880" s="29"/>
      <c r="AA880" s="29"/>
      <c r="AB880" s="29"/>
      <c r="AC880" s="29"/>
      <c r="AD880" s="29"/>
      <c r="AE880" s="29"/>
      <c r="AF880" s="29"/>
    </row>
    <row r="881" ht="23.25" customHeight="1">
      <c r="A881" s="29"/>
      <c r="B881" s="29"/>
      <c r="C881" s="29"/>
      <c r="D881" s="2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60"/>
      <c r="U881" s="160"/>
      <c r="V881" s="160"/>
      <c r="W881" s="160"/>
      <c r="X881" s="160"/>
      <c r="Y881" s="160"/>
      <c r="Z881" s="29"/>
      <c r="AA881" s="29"/>
      <c r="AB881" s="29"/>
      <c r="AC881" s="29"/>
      <c r="AD881" s="29"/>
      <c r="AE881" s="29"/>
      <c r="AF881" s="29"/>
    </row>
    <row r="882" ht="23.25" customHeight="1">
      <c r="A882" s="29"/>
      <c r="B882" s="29"/>
      <c r="C882" s="29"/>
      <c r="D882" s="2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60"/>
      <c r="U882" s="160"/>
      <c r="V882" s="160"/>
      <c r="W882" s="160"/>
      <c r="X882" s="160"/>
      <c r="Y882" s="160"/>
      <c r="Z882" s="29"/>
      <c r="AA882" s="29"/>
      <c r="AB882" s="29"/>
      <c r="AC882" s="29"/>
      <c r="AD882" s="29"/>
      <c r="AE882" s="29"/>
      <c r="AF882" s="29"/>
    </row>
    <row r="883" ht="23.25" customHeight="1">
      <c r="A883" s="29"/>
      <c r="B883" s="29"/>
      <c r="C883" s="29"/>
      <c r="D883" s="2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60"/>
      <c r="U883" s="160"/>
      <c r="V883" s="160"/>
      <c r="W883" s="160"/>
      <c r="X883" s="160"/>
      <c r="Y883" s="160"/>
      <c r="Z883" s="29"/>
      <c r="AA883" s="29"/>
      <c r="AB883" s="29"/>
      <c r="AC883" s="29"/>
      <c r="AD883" s="29"/>
      <c r="AE883" s="29"/>
      <c r="AF883" s="29"/>
    </row>
    <row r="884" ht="23.25" customHeight="1">
      <c r="A884" s="29"/>
      <c r="B884" s="29"/>
      <c r="C884" s="29"/>
      <c r="D884" s="2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60"/>
      <c r="U884" s="160"/>
      <c r="V884" s="160"/>
      <c r="W884" s="160"/>
      <c r="X884" s="160"/>
      <c r="Y884" s="160"/>
      <c r="Z884" s="29"/>
      <c r="AA884" s="29"/>
      <c r="AB884" s="29"/>
      <c r="AC884" s="29"/>
      <c r="AD884" s="29"/>
      <c r="AE884" s="29"/>
      <c r="AF884" s="29"/>
    </row>
    <row r="885" ht="23.25" customHeight="1">
      <c r="A885" s="29"/>
      <c r="B885" s="29"/>
      <c r="C885" s="29"/>
      <c r="D885" s="2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60"/>
      <c r="U885" s="160"/>
      <c r="V885" s="160"/>
      <c r="W885" s="160"/>
      <c r="X885" s="160"/>
      <c r="Y885" s="160"/>
      <c r="Z885" s="29"/>
      <c r="AA885" s="29"/>
      <c r="AB885" s="29"/>
      <c r="AC885" s="29"/>
      <c r="AD885" s="29"/>
      <c r="AE885" s="29"/>
      <c r="AF885" s="29"/>
    </row>
    <row r="886" ht="23.25" customHeight="1">
      <c r="A886" s="29"/>
      <c r="B886" s="29"/>
      <c r="C886" s="29"/>
      <c r="D886" s="2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60"/>
      <c r="U886" s="160"/>
      <c r="V886" s="160"/>
      <c r="W886" s="160"/>
      <c r="X886" s="160"/>
      <c r="Y886" s="160"/>
      <c r="Z886" s="29"/>
      <c r="AA886" s="29"/>
      <c r="AB886" s="29"/>
      <c r="AC886" s="29"/>
      <c r="AD886" s="29"/>
      <c r="AE886" s="29"/>
      <c r="AF886" s="29"/>
    </row>
    <row r="887" ht="23.25" customHeight="1">
      <c r="A887" s="29"/>
      <c r="B887" s="29"/>
      <c r="C887" s="29"/>
      <c r="D887" s="2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60"/>
      <c r="U887" s="160"/>
      <c r="V887" s="160"/>
      <c r="W887" s="160"/>
      <c r="X887" s="160"/>
      <c r="Y887" s="160"/>
      <c r="Z887" s="29"/>
      <c r="AA887" s="29"/>
      <c r="AB887" s="29"/>
      <c r="AC887" s="29"/>
      <c r="AD887" s="29"/>
      <c r="AE887" s="29"/>
      <c r="AF887" s="29"/>
    </row>
    <row r="888" ht="23.25" customHeight="1">
      <c r="A888" s="29"/>
      <c r="B888" s="29"/>
      <c r="C888" s="29"/>
      <c r="D888" s="2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60"/>
      <c r="U888" s="160"/>
      <c r="V888" s="160"/>
      <c r="W888" s="160"/>
      <c r="X888" s="160"/>
      <c r="Y888" s="160"/>
      <c r="Z888" s="29"/>
      <c r="AA888" s="29"/>
      <c r="AB888" s="29"/>
      <c r="AC888" s="29"/>
      <c r="AD888" s="29"/>
      <c r="AE888" s="29"/>
      <c r="AF888" s="29"/>
    </row>
    <row r="889" ht="23.25" customHeight="1">
      <c r="A889" s="29"/>
      <c r="B889" s="29"/>
      <c r="C889" s="29"/>
      <c r="D889" s="2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60"/>
      <c r="U889" s="160"/>
      <c r="V889" s="160"/>
      <c r="W889" s="160"/>
      <c r="X889" s="160"/>
      <c r="Y889" s="160"/>
      <c r="Z889" s="29"/>
      <c r="AA889" s="29"/>
      <c r="AB889" s="29"/>
      <c r="AC889" s="29"/>
      <c r="AD889" s="29"/>
      <c r="AE889" s="29"/>
      <c r="AF889" s="29"/>
    </row>
    <row r="890" ht="23.25" customHeight="1">
      <c r="A890" s="29"/>
      <c r="B890" s="29"/>
      <c r="C890" s="29"/>
      <c r="D890" s="2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60"/>
      <c r="U890" s="160"/>
      <c r="V890" s="160"/>
      <c r="W890" s="160"/>
      <c r="X890" s="160"/>
      <c r="Y890" s="160"/>
      <c r="Z890" s="29"/>
      <c r="AA890" s="29"/>
      <c r="AB890" s="29"/>
      <c r="AC890" s="29"/>
      <c r="AD890" s="29"/>
      <c r="AE890" s="29"/>
      <c r="AF890" s="29"/>
    </row>
    <row r="891" ht="23.25" customHeight="1">
      <c r="A891" s="29"/>
      <c r="B891" s="29"/>
      <c r="C891" s="29"/>
      <c r="D891" s="2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60"/>
      <c r="U891" s="160"/>
      <c r="V891" s="160"/>
      <c r="W891" s="160"/>
      <c r="X891" s="160"/>
      <c r="Y891" s="160"/>
      <c r="Z891" s="29"/>
      <c r="AA891" s="29"/>
      <c r="AB891" s="29"/>
      <c r="AC891" s="29"/>
      <c r="AD891" s="29"/>
      <c r="AE891" s="29"/>
      <c r="AF891" s="29"/>
    </row>
    <row r="892" ht="23.25" customHeight="1">
      <c r="A892" s="29"/>
      <c r="B892" s="29"/>
      <c r="C892" s="29"/>
      <c r="D892" s="2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60"/>
      <c r="U892" s="160"/>
      <c r="V892" s="160"/>
      <c r="W892" s="160"/>
      <c r="X892" s="160"/>
      <c r="Y892" s="160"/>
      <c r="Z892" s="29"/>
      <c r="AA892" s="29"/>
      <c r="AB892" s="29"/>
      <c r="AC892" s="29"/>
      <c r="AD892" s="29"/>
      <c r="AE892" s="29"/>
      <c r="AF892" s="29"/>
    </row>
    <row r="893" ht="23.25" customHeight="1">
      <c r="A893" s="29"/>
      <c r="B893" s="29"/>
      <c r="C893" s="29"/>
      <c r="D893" s="2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60"/>
      <c r="U893" s="160"/>
      <c r="V893" s="160"/>
      <c r="W893" s="160"/>
      <c r="X893" s="160"/>
      <c r="Y893" s="160"/>
      <c r="Z893" s="29"/>
      <c r="AA893" s="29"/>
      <c r="AB893" s="29"/>
      <c r="AC893" s="29"/>
      <c r="AD893" s="29"/>
      <c r="AE893" s="29"/>
      <c r="AF893" s="29"/>
    </row>
    <row r="894" ht="23.25" customHeight="1">
      <c r="A894" s="29"/>
      <c r="B894" s="29"/>
      <c r="C894" s="29"/>
      <c r="D894" s="2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60"/>
      <c r="U894" s="160"/>
      <c r="V894" s="160"/>
      <c r="W894" s="160"/>
      <c r="X894" s="160"/>
      <c r="Y894" s="160"/>
      <c r="Z894" s="29"/>
      <c r="AA894" s="29"/>
      <c r="AB894" s="29"/>
      <c r="AC894" s="29"/>
      <c r="AD894" s="29"/>
      <c r="AE894" s="29"/>
      <c r="AF894" s="29"/>
    </row>
    <row r="895" ht="23.25" customHeight="1">
      <c r="A895" s="29"/>
      <c r="B895" s="29"/>
      <c r="C895" s="29"/>
      <c r="D895" s="2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60"/>
      <c r="U895" s="160"/>
      <c r="V895" s="160"/>
      <c r="W895" s="160"/>
      <c r="X895" s="160"/>
      <c r="Y895" s="160"/>
      <c r="Z895" s="29"/>
      <c r="AA895" s="29"/>
      <c r="AB895" s="29"/>
      <c r="AC895" s="29"/>
      <c r="AD895" s="29"/>
      <c r="AE895" s="29"/>
      <c r="AF895" s="29"/>
    </row>
    <row r="896" ht="23.25" customHeight="1">
      <c r="A896" s="29"/>
      <c r="B896" s="29"/>
      <c r="C896" s="29"/>
      <c r="D896" s="2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60"/>
      <c r="U896" s="160"/>
      <c r="V896" s="160"/>
      <c r="W896" s="160"/>
      <c r="X896" s="160"/>
      <c r="Y896" s="160"/>
      <c r="Z896" s="29"/>
      <c r="AA896" s="29"/>
      <c r="AB896" s="29"/>
      <c r="AC896" s="29"/>
      <c r="AD896" s="29"/>
      <c r="AE896" s="29"/>
      <c r="AF896" s="29"/>
    </row>
    <row r="897" ht="23.25" customHeight="1">
      <c r="A897" s="29"/>
      <c r="B897" s="29"/>
      <c r="C897" s="29"/>
      <c r="D897" s="2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60"/>
      <c r="U897" s="160"/>
      <c r="V897" s="160"/>
      <c r="W897" s="160"/>
      <c r="X897" s="160"/>
      <c r="Y897" s="160"/>
      <c r="Z897" s="29"/>
      <c r="AA897" s="29"/>
      <c r="AB897" s="29"/>
      <c r="AC897" s="29"/>
      <c r="AD897" s="29"/>
      <c r="AE897" s="29"/>
      <c r="AF897" s="29"/>
    </row>
    <row r="898" ht="23.25" customHeight="1">
      <c r="A898" s="29"/>
      <c r="B898" s="29"/>
      <c r="C898" s="29"/>
      <c r="D898" s="2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60"/>
      <c r="U898" s="160"/>
      <c r="V898" s="160"/>
      <c r="W898" s="160"/>
      <c r="X898" s="160"/>
      <c r="Y898" s="160"/>
      <c r="Z898" s="29"/>
      <c r="AA898" s="29"/>
      <c r="AB898" s="29"/>
      <c r="AC898" s="29"/>
      <c r="AD898" s="29"/>
      <c r="AE898" s="29"/>
      <c r="AF898" s="29"/>
    </row>
    <row r="899" ht="23.25" customHeight="1">
      <c r="A899" s="29"/>
      <c r="B899" s="29"/>
      <c r="C899" s="29"/>
      <c r="D899" s="2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60"/>
      <c r="U899" s="160"/>
      <c r="V899" s="160"/>
      <c r="W899" s="160"/>
      <c r="X899" s="160"/>
      <c r="Y899" s="160"/>
      <c r="Z899" s="29"/>
      <c r="AA899" s="29"/>
      <c r="AB899" s="29"/>
      <c r="AC899" s="29"/>
      <c r="AD899" s="29"/>
      <c r="AE899" s="29"/>
      <c r="AF899" s="29"/>
    </row>
    <row r="900" ht="23.25" customHeight="1">
      <c r="A900" s="29"/>
      <c r="B900" s="29"/>
      <c r="C900" s="29"/>
      <c r="D900" s="2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60"/>
      <c r="U900" s="160"/>
      <c r="V900" s="160"/>
      <c r="W900" s="160"/>
      <c r="X900" s="160"/>
      <c r="Y900" s="160"/>
      <c r="Z900" s="29"/>
      <c r="AA900" s="29"/>
      <c r="AB900" s="29"/>
      <c r="AC900" s="29"/>
      <c r="AD900" s="29"/>
      <c r="AE900" s="29"/>
      <c r="AF900" s="29"/>
    </row>
    <row r="901" ht="23.25" customHeight="1">
      <c r="A901" s="29"/>
      <c r="B901" s="29"/>
      <c r="C901" s="29"/>
      <c r="D901" s="2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60"/>
      <c r="U901" s="160"/>
      <c r="V901" s="160"/>
      <c r="W901" s="160"/>
      <c r="X901" s="160"/>
      <c r="Y901" s="160"/>
      <c r="Z901" s="29"/>
      <c r="AA901" s="29"/>
      <c r="AB901" s="29"/>
      <c r="AC901" s="29"/>
      <c r="AD901" s="29"/>
      <c r="AE901" s="29"/>
      <c r="AF901" s="29"/>
    </row>
    <row r="902" ht="23.25" customHeight="1">
      <c r="A902" s="29"/>
      <c r="B902" s="29"/>
      <c r="C902" s="29"/>
      <c r="D902" s="2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60"/>
      <c r="U902" s="160"/>
      <c r="V902" s="160"/>
      <c r="W902" s="160"/>
      <c r="X902" s="160"/>
      <c r="Y902" s="160"/>
      <c r="Z902" s="29"/>
      <c r="AA902" s="29"/>
      <c r="AB902" s="29"/>
      <c r="AC902" s="29"/>
      <c r="AD902" s="29"/>
      <c r="AE902" s="29"/>
      <c r="AF902" s="29"/>
    </row>
    <row r="903" ht="23.25" customHeight="1">
      <c r="A903" s="29"/>
      <c r="B903" s="29"/>
      <c r="C903" s="29"/>
      <c r="D903" s="2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60"/>
      <c r="U903" s="160"/>
      <c r="V903" s="160"/>
      <c r="W903" s="160"/>
      <c r="X903" s="160"/>
      <c r="Y903" s="160"/>
      <c r="Z903" s="29"/>
      <c r="AA903" s="29"/>
      <c r="AB903" s="29"/>
      <c r="AC903" s="29"/>
      <c r="AD903" s="29"/>
      <c r="AE903" s="29"/>
      <c r="AF903" s="29"/>
    </row>
    <row r="904" ht="23.25" customHeight="1">
      <c r="A904" s="29"/>
      <c r="B904" s="29"/>
      <c r="C904" s="29"/>
      <c r="D904" s="2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60"/>
      <c r="U904" s="160"/>
      <c r="V904" s="160"/>
      <c r="W904" s="160"/>
      <c r="X904" s="160"/>
      <c r="Y904" s="160"/>
      <c r="Z904" s="29"/>
      <c r="AA904" s="29"/>
      <c r="AB904" s="29"/>
      <c r="AC904" s="29"/>
      <c r="AD904" s="29"/>
      <c r="AE904" s="29"/>
      <c r="AF904" s="29"/>
    </row>
    <row r="905" ht="23.25" customHeight="1">
      <c r="A905" s="29"/>
      <c r="B905" s="29"/>
      <c r="C905" s="29"/>
      <c r="D905" s="2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60"/>
      <c r="U905" s="160"/>
      <c r="V905" s="160"/>
      <c r="W905" s="160"/>
      <c r="X905" s="160"/>
      <c r="Y905" s="160"/>
      <c r="Z905" s="29"/>
      <c r="AA905" s="29"/>
      <c r="AB905" s="29"/>
      <c r="AC905" s="29"/>
      <c r="AD905" s="29"/>
      <c r="AE905" s="29"/>
      <c r="AF905" s="29"/>
    </row>
    <row r="906" ht="23.25" customHeight="1">
      <c r="A906" s="29"/>
      <c r="B906" s="29"/>
      <c r="C906" s="29"/>
      <c r="D906" s="2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60"/>
      <c r="U906" s="160"/>
      <c r="V906" s="160"/>
      <c r="W906" s="160"/>
      <c r="X906" s="160"/>
      <c r="Y906" s="160"/>
      <c r="Z906" s="29"/>
      <c r="AA906" s="29"/>
      <c r="AB906" s="29"/>
      <c r="AC906" s="29"/>
      <c r="AD906" s="29"/>
      <c r="AE906" s="29"/>
      <c r="AF906" s="29"/>
    </row>
    <row r="907" ht="23.25" customHeight="1">
      <c r="A907" s="29"/>
      <c r="B907" s="29"/>
      <c r="C907" s="29"/>
      <c r="D907" s="2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60"/>
      <c r="U907" s="160"/>
      <c r="V907" s="160"/>
      <c r="W907" s="160"/>
      <c r="X907" s="160"/>
      <c r="Y907" s="160"/>
      <c r="Z907" s="29"/>
      <c r="AA907" s="29"/>
      <c r="AB907" s="29"/>
      <c r="AC907" s="29"/>
      <c r="AD907" s="29"/>
      <c r="AE907" s="29"/>
      <c r="AF907" s="29"/>
    </row>
    <row r="908" ht="23.25" customHeight="1">
      <c r="A908" s="29"/>
      <c r="B908" s="29"/>
      <c r="C908" s="29"/>
      <c r="D908" s="2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60"/>
      <c r="U908" s="160"/>
      <c r="V908" s="160"/>
      <c r="W908" s="160"/>
      <c r="X908" s="160"/>
      <c r="Y908" s="160"/>
      <c r="Z908" s="29"/>
      <c r="AA908" s="29"/>
      <c r="AB908" s="29"/>
      <c r="AC908" s="29"/>
      <c r="AD908" s="29"/>
      <c r="AE908" s="29"/>
      <c r="AF908" s="29"/>
    </row>
    <row r="909" ht="23.25" customHeight="1">
      <c r="A909" s="29"/>
      <c r="B909" s="29"/>
      <c r="C909" s="29"/>
      <c r="D909" s="2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60"/>
      <c r="U909" s="160"/>
      <c r="V909" s="160"/>
      <c r="W909" s="160"/>
      <c r="X909" s="160"/>
      <c r="Y909" s="160"/>
      <c r="Z909" s="29"/>
      <c r="AA909" s="29"/>
      <c r="AB909" s="29"/>
      <c r="AC909" s="29"/>
      <c r="AD909" s="29"/>
      <c r="AE909" s="29"/>
      <c r="AF909" s="29"/>
    </row>
    <row r="910" ht="23.25" customHeight="1">
      <c r="A910" s="29"/>
      <c r="B910" s="29"/>
      <c r="C910" s="29"/>
      <c r="D910" s="2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60"/>
      <c r="U910" s="160"/>
      <c r="V910" s="160"/>
      <c r="W910" s="160"/>
      <c r="X910" s="160"/>
      <c r="Y910" s="160"/>
      <c r="Z910" s="29"/>
      <c r="AA910" s="29"/>
      <c r="AB910" s="29"/>
      <c r="AC910" s="29"/>
      <c r="AD910" s="29"/>
      <c r="AE910" s="29"/>
      <c r="AF910" s="29"/>
    </row>
    <row r="911" ht="23.25" customHeight="1">
      <c r="A911" s="29"/>
      <c r="B911" s="29"/>
      <c r="C911" s="29"/>
      <c r="D911" s="2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60"/>
      <c r="U911" s="160"/>
      <c r="V911" s="160"/>
      <c r="W911" s="160"/>
      <c r="X911" s="160"/>
      <c r="Y911" s="160"/>
      <c r="Z911" s="29"/>
      <c r="AA911" s="29"/>
      <c r="AB911" s="29"/>
      <c r="AC911" s="29"/>
      <c r="AD911" s="29"/>
      <c r="AE911" s="29"/>
      <c r="AF911" s="29"/>
    </row>
    <row r="912" ht="23.25" customHeight="1">
      <c r="A912" s="29"/>
      <c r="B912" s="29"/>
      <c r="C912" s="29"/>
      <c r="D912" s="2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60"/>
      <c r="U912" s="160"/>
      <c r="V912" s="160"/>
      <c r="W912" s="160"/>
      <c r="X912" s="160"/>
      <c r="Y912" s="160"/>
      <c r="Z912" s="29"/>
      <c r="AA912" s="29"/>
      <c r="AB912" s="29"/>
      <c r="AC912" s="29"/>
      <c r="AD912" s="29"/>
      <c r="AE912" s="29"/>
      <c r="AF912" s="29"/>
    </row>
    <row r="913" ht="23.25" customHeight="1">
      <c r="A913" s="29"/>
      <c r="B913" s="29"/>
      <c r="C913" s="29"/>
      <c r="D913" s="2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60"/>
      <c r="U913" s="160"/>
      <c r="V913" s="160"/>
      <c r="W913" s="160"/>
      <c r="X913" s="160"/>
      <c r="Y913" s="160"/>
      <c r="Z913" s="29"/>
      <c r="AA913" s="29"/>
      <c r="AB913" s="29"/>
      <c r="AC913" s="29"/>
      <c r="AD913" s="29"/>
      <c r="AE913" s="29"/>
      <c r="AF913" s="29"/>
    </row>
    <row r="914" ht="23.25" customHeight="1">
      <c r="A914" s="29"/>
      <c r="B914" s="29"/>
      <c r="C914" s="29"/>
      <c r="D914" s="2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60"/>
      <c r="U914" s="160"/>
      <c r="V914" s="160"/>
      <c r="W914" s="160"/>
      <c r="X914" s="160"/>
      <c r="Y914" s="160"/>
      <c r="Z914" s="29"/>
      <c r="AA914" s="29"/>
      <c r="AB914" s="29"/>
      <c r="AC914" s="29"/>
      <c r="AD914" s="29"/>
      <c r="AE914" s="29"/>
      <c r="AF914" s="29"/>
    </row>
    <row r="915" ht="23.25" customHeight="1">
      <c r="A915" s="29"/>
      <c r="B915" s="29"/>
      <c r="C915" s="29"/>
      <c r="D915" s="2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60"/>
      <c r="U915" s="160"/>
      <c r="V915" s="160"/>
      <c r="W915" s="160"/>
      <c r="X915" s="160"/>
      <c r="Y915" s="160"/>
      <c r="Z915" s="29"/>
      <c r="AA915" s="29"/>
      <c r="AB915" s="29"/>
      <c r="AC915" s="29"/>
      <c r="AD915" s="29"/>
      <c r="AE915" s="29"/>
      <c r="AF915" s="29"/>
    </row>
    <row r="916" ht="23.25" customHeight="1">
      <c r="A916" s="29"/>
      <c r="B916" s="29"/>
      <c r="C916" s="29"/>
      <c r="D916" s="2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60"/>
      <c r="U916" s="160"/>
      <c r="V916" s="160"/>
      <c r="W916" s="160"/>
      <c r="X916" s="160"/>
      <c r="Y916" s="160"/>
      <c r="Z916" s="29"/>
      <c r="AA916" s="29"/>
      <c r="AB916" s="29"/>
      <c r="AC916" s="29"/>
      <c r="AD916" s="29"/>
      <c r="AE916" s="29"/>
      <c r="AF916" s="29"/>
    </row>
    <row r="917" ht="23.25" customHeight="1">
      <c r="A917" s="29"/>
      <c r="B917" s="29"/>
      <c r="C917" s="29"/>
      <c r="D917" s="2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60"/>
      <c r="U917" s="160"/>
      <c r="V917" s="160"/>
      <c r="W917" s="160"/>
      <c r="X917" s="160"/>
      <c r="Y917" s="160"/>
      <c r="Z917" s="29"/>
      <c r="AA917" s="29"/>
      <c r="AB917" s="29"/>
      <c r="AC917" s="29"/>
      <c r="AD917" s="29"/>
      <c r="AE917" s="29"/>
      <c r="AF917" s="29"/>
    </row>
    <row r="918" ht="23.25" customHeight="1">
      <c r="A918" s="29"/>
      <c r="B918" s="29"/>
      <c r="C918" s="29"/>
      <c r="D918" s="2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60"/>
      <c r="U918" s="160"/>
      <c r="V918" s="160"/>
      <c r="W918" s="160"/>
      <c r="X918" s="160"/>
      <c r="Y918" s="160"/>
      <c r="Z918" s="29"/>
      <c r="AA918" s="29"/>
      <c r="AB918" s="29"/>
      <c r="AC918" s="29"/>
      <c r="AD918" s="29"/>
      <c r="AE918" s="29"/>
      <c r="AF918" s="29"/>
    </row>
    <row r="919" ht="23.25" customHeight="1">
      <c r="A919" s="29"/>
      <c r="B919" s="29"/>
      <c r="C919" s="29"/>
      <c r="D919" s="2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60"/>
      <c r="U919" s="160"/>
      <c r="V919" s="160"/>
      <c r="W919" s="160"/>
      <c r="X919" s="160"/>
      <c r="Y919" s="160"/>
      <c r="Z919" s="29"/>
      <c r="AA919" s="29"/>
      <c r="AB919" s="29"/>
      <c r="AC919" s="29"/>
      <c r="AD919" s="29"/>
      <c r="AE919" s="29"/>
      <c r="AF919" s="29"/>
    </row>
    <row r="920" ht="23.25" customHeight="1">
      <c r="A920" s="29"/>
      <c r="B920" s="29"/>
      <c r="C920" s="29"/>
      <c r="D920" s="2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60"/>
      <c r="U920" s="160"/>
      <c r="V920" s="160"/>
      <c r="W920" s="160"/>
      <c r="X920" s="160"/>
      <c r="Y920" s="160"/>
      <c r="Z920" s="29"/>
      <c r="AA920" s="29"/>
      <c r="AB920" s="29"/>
      <c r="AC920" s="29"/>
      <c r="AD920" s="29"/>
      <c r="AE920" s="29"/>
      <c r="AF920" s="29"/>
    </row>
    <row r="921" ht="23.25" customHeight="1">
      <c r="A921" s="29"/>
      <c r="B921" s="29"/>
      <c r="C921" s="29"/>
      <c r="D921" s="2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60"/>
      <c r="U921" s="160"/>
      <c r="V921" s="160"/>
      <c r="W921" s="160"/>
      <c r="X921" s="160"/>
      <c r="Y921" s="160"/>
      <c r="Z921" s="29"/>
      <c r="AA921" s="29"/>
      <c r="AB921" s="29"/>
      <c r="AC921" s="29"/>
      <c r="AD921" s="29"/>
      <c r="AE921" s="29"/>
      <c r="AF921" s="29"/>
    </row>
    <row r="922" ht="23.25" customHeight="1">
      <c r="A922" s="29"/>
      <c r="B922" s="29"/>
      <c r="C922" s="29"/>
      <c r="D922" s="2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60"/>
      <c r="U922" s="160"/>
      <c r="V922" s="160"/>
      <c r="W922" s="160"/>
      <c r="X922" s="160"/>
      <c r="Y922" s="160"/>
      <c r="Z922" s="29"/>
      <c r="AA922" s="29"/>
      <c r="AB922" s="29"/>
      <c r="AC922" s="29"/>
      <c r="AD922" s="29"/>
      <c r="AE922" s="29"/>
      <c r="AF922" s="29"/>
    </row>
    <row r="923" ht="23.25" customHeight="1">
      <c r="A923" s="29"/>
      <c r="B923" s="29"/>
      <c r="C923" s="29"/>
      <c r="D923" s="2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60"/>
      <c r="U923" s="160"/>
      <c r="V923" s="160"/>
      <c r="W923" s="160"/>
      <c r="X923" s="160"/>
      <c r="Y923" s="160"/>
      <c r="Z923" s="29"/>
      <c r="AA923" s="29"/>
      <c r="AB923" s="29"/>
      <c r="AC923" s="29"/>
      <c r="AD923" s="29"/>
      <c r="AE923" s="29"/>
      <c r="AF923" s="29"/>
    </row>
    <row r="924" ht="23.25" customHeight="1">
      <c r="A924" s="29"/>
      <c r="B924" s="29"/>
      <c r="C924" s="29"/>
      <c r="D924" s="2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60"/>
      <c r="U924" s="160"/>
      <c r="V924" s="160"/>
      <c r="W924" s="160"/>
      <c r="X924" s="160"/>
      <c r="Y924" s="160"/>
      <c r="Z924" s="29"/>
      <c r="AA924" s="29"/>
      <c r="AB924" s="29"/>
      <c r="AC924" s="29"/>
      <c r="AD924" s="29"/>
      <c r="AE924" s="29"/>
      <c r="AF924" s="29"/>
    </row>
    <row r="925" ht="23.25" customHeight="1">
      <c r="A925" s="29"/>
      <c r="B925" s="29"/>
      <c r="C925" s="29"/>
      <c r="D925" s="2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60"/>
      <c r="U925" s="160"/>
      <c r="V925" s="160"/>
      <c r="W925" s="160"/>
      <c r="X925" s="160"/>
      <c r="Y925" s="160"/>
      <c r="Z925" s="29"/>
      <c r="AA925" s="29"/>
      <c r="AB925" s="29"/>
      <c r="AC925" s="29"/>
      <c r="AD925" s="29"/>
      <c r="AE925" s="29"/>
      <c r="AF925" s="29"/>
    </row>
    <row r="926" ht="23.25" customHeight="1">
      <c r="A926" s="29"/>
      <c r="B926" s="29"/>
      <c r="C926" s="29"/>
      <c r="D926" s="2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60"/>
      <c r="U926" s="160"/>
      <c r="V926" s="160"/>
      <c r="W926" s="160"/>
      <c r="X926" s="160"/>
      <c r="Y926" s="160"/>
      <c r="Z926" s="29"/>
      <c r="AA926" s="29"/>
      <c r="AB926" s="29"/>
      <c r="AC926" s="29"/>
      <c r="AD926" s="29"/>
      <c r="AE926" s="29"/>
      <c r="AF926" s="29"/>
    </row>
    <row r="927" ht="23.25" customHeight="1">
      <c r="A927" s="29"/>
      <c r="B927" s="29"/>
      <c r="C927" s="29"/>
      <c r="D927" s="2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60"/>
      <c r="U927" s="160"/>
      <c r="V927" s="160"/>
      <c r="W927" s="160"/>
      <c r="X927" s="160"/>
      <c r="Y927" s="160"/>
      <c r="Z927" s="29"/>
      <c r="AA927" s="29"/>
      <c r="AB927" s="29"/>
      <c r="AC927" s="29"/>
      <c r="AD927" s="29"/>
      <c r="AE927" s="29"/>
      <c r="AF927" s="29"/>
    </row>
    <row r="928" ht="23.25" customHeight="1">
      <c r="A928" s="29"/>
      <c r="B928" s="29"/>
      <c r="C928" s="29"/>
      <c r="D928" s="2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60"/>
      <c r="U928" s="160"/>
      <c r="V928" s="160"/>
      <c r="W928" s="160"/>
      <c r="X928" s="160"/>
      <c r="Y928" s="160"/>
      <c r="Z928" s="29"/>
      <c r="AA928" s="29"/>
      <c r="AB928" s="29"/>
      <c r="AC928" s="29"/>
      <c r="AD928" s="29"/>
      <c r="AE928" s="29"/>
      <c r="AF928" s="29"/>
    </row>
    <row r="929" ht="23.25" customHeight="1">
      <c r="A929" s="29"/>
      <c r="B929" s="29"/>
      <c r="C929" s="29"/>
      <c r="D929" s="2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60"/>
      <c r="U929" s="160"/>
      <c r="V929" s="160"/>
      <c r="W929" s="160"/>
      <c r="X929" s="160"/>
      <c r="Y929" s="160"/>
      <c r="Z929" s="29"/>
      <c r="AA929" s="29"/>
      <c r="AB929" s="29"/>
      <c r="AC929" s="29"/>
      <c r="AD929" s="29"/>
      <c r="AE929" s="29"/>
      <c r="AF929" s="29"/>
    </row>
    <row r="930" ht="23.25" customHeight="1">
      <c r="A930" s="29"/>
      <c r="B930" s="29"/>
      <c r="C930" s="29"/>
      <c r="D930" s="2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60"/>
      <c r="U930" s="160"/>
      <c r="V930" s="160"/>
      <c r="W930" s="160"/>
      <c r="X930" s="160"/>
      <c r="Y930" s="160"/>
      <c r="Z930" s="29"/>
      <c r="AA930" s="29"/>
      <c r="AB930" s="29"/>
      <c r="AC930" s="29"/>
      <c r="AD930" s="29"/>
      <c r="AE930" s="29"/>
      <c r="AF930" s="29"/>
    </row>
    <row r="931" ht="23.25" customHeight="1">
      <c r="A931" s="29"/>
      <c r="B931" s="29"/>
      <c r="C931" s="29"/>
      <c r="D931" s="2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60"/>
      <c r="U931" s="160"/>
      <c r="V931" s="160"/>
      <c r="W931" s="160"/>
      <c r="X931" s="160"/>
      <c r="Y931" s="160"/>
      <c r="Z931" s="29"/>
      <c r="AA931" s="29"/>
      <c r="AB931" s="29"/>
      <c r="AC931" s="29"/>
      <c r="AD931" s="29"/>
      <c r="AE931" s="29"/>
      <c r="AF931" s="29"/>
    </row>
    <row r="932" ht="23.25" customHeight="1">
      <c r="A932" s="29"/>
      <c r="B932" s="29"/>
      <c r="C932" s="29"/>
      <c r="D932" s="2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60"/>
      <c r="U932" s="160"/>
      <c r="V932" s="160"/>
      <c r="W932" s="160"/>
      <c r="X932" s="160"/>
      <c r="Y932" s="160"/>
      <c r="Z932" s="29"/>
      <c r="AA932" s="29"/>
      <c r="AB932" s="29"/>
      <c r="AC932" s="29"/>
      <c r="AD932" s="29"/>
      <c r="AE932" s="29"/>
      <c r="AF932" s="29"/>
    </row>
    <row r="933" ht="23.25" customHeight="1">
      <c r="A933" s="29"/>
      <c r="B933" s="29"/>
      <c r="C933" s="29"/>
      <c r="D933" s="2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60"/>
      <c r="U933" s="160"/>
      <c r="V933" s="160"/>
      <c r="W933" s="160"/>
      <c r="X933" s="160"/>
      <c r="Y933" s="160"/>
      <c r="Z933" s="29"/>
      <c r="AA933" s="29"/>
      <c r="AB933" s="29"/>
      <c r="AC933" s="29"/>
      <c r="AD933" s="29"/>
      <c r="AE933" s="29"/>
      <c r="AF933" s="29"/>
    </row>
    <row r="934" ht="23.25" customHeight="1">
      <c r="A934" s="29"/>
      <c r="B934" s="29"/>
      <c r="C934" s="29"/>
      <c r="D934" s="2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60"/>
      <c r="U934" s="160"/>
      <c r="V934" s="160"/>
      <c r="W934" s="160"/>
      <c r="X934" s="160"/>
      <c r="Y934" s="160"/>
      <c r="Z934" s="29"/>
      <c r="AA934" s="29"/>
      <c r="AB934" s="29"/>
      <c r="AC934" s="29"/>
      <c r="AD934" s="29"/>
      <c r="AE934" s="29"/>
      <c r="AF934" s="29"/>
    </row>
    <row r="935" ht="23.25" customHeight="1">
      <c r="A935" s="29"/>
      <c r="B935" s="29"/>
      <c r="C935" s="29"/>
      <c r="D935" s="2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60"/>
      <c r="U935" s="160"/>
      <c r="V935" s="160"/>
      <c r="W935" s="160"/>
      <c r="X935" s="160"/>
      <c r="Y935" s="160"/>
      <c r="Z935" s="29"/>
      <c r="AA935" s="29"/>
      <c r="AB935" s="29"/>
      <c r="AC935" s="29"/>
      <c r="AD935" s="29"/>
      <c r="AE935" s="29"/>
      <c r="AF935" s="29"/>
    </row>
    <row r="936" ht="23.25" customHeight="1">
      <c r="A936" s="29"/>
      <c r="B936" s="29"/>
      <c r="C936" s="29"/>
      <c r="D936" s="2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60"/>
      <c r="U936" s="160"/>
      <c r="V936" s="160"/>
      <c r="W936" s="160"/>
      <c r="X936" s="160"/>
      <c r="Y936" s="160"/>
      <c r="Z936" s="29"/>
      <c r="AA936" s="29"/>
      <c r="AB936" s="29"/>
      <c r="AC936" s="29"/>
      <c r="AD936" s="29"/>
      <c r="AE936" s="29"/>
      <c r="AF936" s="29"/>
    </row>
    <row r="937" ht="23.25" customHeight="1">
      <c r="A937" s="29"/>
      <c r="B937" s="29"/>
      <c r="C937" s="29"/>
      <c r="D937" s="2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60"/>
      <c r="U937" s="160"/>
      <c r="V937" s="160"/>
      <c r="W937" s="160"/>
      <c r="X937" s="160"/>
      <c r="Y937" s="160"/>
      <c r="Z937" s="29"/>
      <c r="AA937" s="29"/>
      <c r="AB937" s="29"/>
      <c r="AC937" s="29"/>
      <c r="AD937" s="29"/>
      <c r="AE937" s="29"/>
      <c r="AF937" s="29"/>
    </row>
    <row r="938" ht="23.25" customHeight="1">
      <c r="A938" s="29"/>
      <c r="B938" s="29"/>
      <c r="C938" s="29"/>
      <c r="D938" s="2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60"/>
      <c r="U938" s="160"/>
      <c r="V938" s="160"/>
      <c r="W938" s="160"/>
      <c r="X938" s="160"/>
      <c r="Y938" s="160"/>
      <c r="Z938" s="29"/>
      <c r="AA938" s="29"/>
      <c r="AB938" s="29"/>
      <c r="AC938" s="29"/>
      <c r="AD938" s="29"/>
      <c r="AE938" s="29"/>
      <c r="AF938" s="29"/>
    </row>
    <row r="939" ht="23.25" customHeight="1">
      <c r="A939" s="29"/>
      <c r="B939" s="29"/>
      <c r="C939" s="29"/>
      <c r="D939" s="2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60"/>
      <c r="U939" s="160"/>
      <c r="V939" s="160"/>
      <c r="W939" s="160"/>
      <c r="X939" s="160"/>
      <c r="Y939" s="160"/>
      <c r="Z939" s="29"/>
      <c r="AA939" s="29"/>
      <c r="AB939" s="29"/>
      <c r="AC939" s="29"/>
      <c r="AD939" s="29"/>
      <c r="AE939" s="29"/>
      <c r="AF939" s="29"/>
    </row>
    <row r="940" ht="23.25" customHeight="1">
      <c r="A940" s="29"/>
      <c r="B940" s="29"/>
      <c r="C940" s="29"/>
      <c r="D940" s="2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60"/>
      <c r="U940" s="160"/>
      <c r="V940" s="160"/>
      <c r="W940" s="160"/>
      <c r="X940" s="160"/>
      <c r="Y940" s="160"/>
      <c r="Z940" s="29"/>
      <c r="AA940" s="29"/>
      <c r="AB940" s="29"/>
      <c r="AC940" s="29"/>
      <c r="AD940" s="29"/>
      <c r="AE940" s="29"/>
      <c r="AF940" s="29"/>
    </row>
    <row r="941" ht="23.25" customHeight="1">
      <c r="A941" s="29"/>
      <c r="B941" s="29"/>
      <c r="C941" s="29"/>
      <c r="D941" s="2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60"/>
      <c r="U941" s="160"/>
      <c r="V941" s="160"/>
      <c r="W941" s="160"/>
      <c r="X941" s="160"/>
      <c r="Y941" s="160"/>
      <c r="Z941" s="29"/>
      <c r="AA941" s="29"/>
      <c r="AB941" s="29"/>
      <c r="AC941" s="29"/>
      <c r="AD941" s="29"/>
      <c r="AE941" s="29"/>
      <c r="AF941" s="29"/>
    </row>
    <row r="942" ht="23.25" customHeight="1">
      <c r="A942" s="29"/>
      <c r="B942" s="29"/>
      <c r="C942" s="29"/>
      <c r="D942" s="2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60"/>
      <c r="U942" s="160"/>
      <c r="V942" s="160"/>
      <c r="W942" s="160"/>
      <c r="X942" s="160"/>
      <c r="Y942" s="160"/>
      <c r="Z942" s="29"/>
      <c r="AA942" s="29"/>
      <c r="AB942" s="29"/>
      <c r="AC942" s="29"/>
      <c r="AD942" s="29"/>
      <c r="AE942" s="29"/>
      <c r="AF942" s="29"/>
    </row>
    <row r="943" ht="23.25" customHeight="1">
      <c r="A943" s="29"/>
      <c r="B943" s="29"/>
      <c r="C943" s="29"/>
      <c r="D943" s="2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60"/>
      <c r="U943" s="160"/>
      <c r="V943" s="160"/>
      <c r="W943" s="160"/>
      <c r="X943" s="160"/>
      <c r="Y943" s="160"/>
      <c r="Z943" s="29"/>
      <c r="AA943" s="29"/>
      <c r="AB943" s="29"/>
      <c r="AC943" s="29"/>
      <c r="AD943" s="29"/>
      <c r="AE943" s="29"/>
      <c r="AF943" s="29"/>
    </row>
    <row r="944" ht="23.25" customHeight="1">
      <c r="A944" s="29"/>
      <c r="B944" s="29"/>
      <c r="C944" s="29"/>
      <c r="D944" s="2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60"/>
      <c r="U944" s="160"/>
      <c r="V944" s="160"/>
      <c r="W944" s="160"/>
      <c r="X944" s="160"/>
      <c r="Y944" s="160"/>
      <c r="Z944" s="29"/>
      <c r="AA944" s="29"/>
      <c r="AB944" s="29"/>
      <c r="AC944" s="29"/>
      <c r="AD944" s="29"/>
      <c r="AE944" s="29"/>
      <c r="AF944" s="29"/>
    </row>
    <row r="945" ht="23.25" customHeight="1">
      <c r="A945" s="29"/>
      <c r="B945" s="29"/>
      <c r="C945" s="29"/>
      <c r="D945" s="2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60"/>
      <c r="U945" s="160"/>
      <c r="V945" s="160"/>
      <c r="W945" s="160"/>
      <c r="X945" s="160"/>
      <c r="Y945" s="160"/>
      <c r="Z945" s="29"/>
      <c r="AA945" s="29"/>
      <c r="AB945" s="29"/>
      <c r="AC945" s="29"/>
      <c r="AD945" s="29"/>
      <c r="AE945" s="29"/>
      <c r="AF945" s="29"/>
    </row>
    <row r="946" ht="23.25" customHeight="1">
      <c r="A946" s="29"/>
      <c r="B946" s="29"/>
      <c r="C946" s="29"/>
      <c r="D946" s="2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60"/>
      <c r="U946" s="160"/>
      <c r="V946" s="160"/>
      <c r="W946" s="160"/>
      <c r="X946" s="160"/>
      <c r="Y946" s="160"/>
      <c r="Z946" s="29"/>
      <c r="AA946" s="29"/>
      <c r="AB946" s="29"/>
      <c r="AC946" s="29"/>
      <c r="AD946" s="29"/>
      <c r="AE946" s="29"/>
      <c r="AF946" s="29"/>
    </row>
    <row r="947" ht="23.25" customHeight="1">
      <c r="A947" s="29"/>
      <c r="B947" s="29"/>
      <c r="C947" s="29"/>
      <c r="D947" s="2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60"/>
      <c r="U947" s="160"/>
      <c r="V947" s="160"/>
      <c r="W947" s="160"/>
      <c r="X947" s="160"/>
      <c r="Y947" s="160"/>
      <c r="Z947" s="29"/>
      <c r="AA947" s="29"/>
      <c r="AB947" s="29"/>
      <c r="AC947" s="29"/>
      <c r="AD947" s="29"/>
      <c r="AE947" s="29"/>
      <c r="AF947" s="29"/>
    </row>
    <row r="948" ht="23.25" customHeight="1">
      <c r="A948" s="29"/>
      <c r="B948" s="29"/>
      <c r="C948" s="29"/>
      <c r="D948" s="2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60"/>
      <c r="U948" s="160"/>
      <c r="V948" s="160"/>
      <c r="W948" s="160"/>
      <c r="X948" s="160"/>
      <c r="Y948" s="160"/>
      <c r="Z948" s="29"/>
      <c r="AA948" s="29"/>
      <c r="AB948" s="29"/>
      <c r="AC948" s="29"/>
      <c r="AD948" s="29"/>
      <c r="AE948" s="29"/>
      <c r="AF948" s="29"/>
    </row>
    <row r="949" ht="23.25" customHeight="1">
      <c r="A949" s="29"/>
      <c r="B949" s="29"/>
      <c r="C949" s="29"/>
      <c r="D949" s="2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60"/>
      <c r="U949" s="160"/>
      <c r="V949" s="160"/>
      <c r="W949" s="160"/>
      <c r="X949" s="160"/>
      <c r="Y949" s="160"/>
      <c r="Z949" s="29"/>
      <c r="AA949" s="29"/>
      <c r="AB949" s="29"/>
      <c r="AC949" s="29"/>
      <c r="AD949" s="29"/>
      <c r="AE949" s="29"/>
      <c r="AF949" s="29"/>
    </row>
    <row r="950" ht="23.25" customHeight="1">
      <c r="A950" s="29"/>
      <c r="B950" s="29"/>
      <c r="C950" s="29"/>
      <c r="D950" s="2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60"/>
      <c r="U950" s="160"/>
      <c r="V950" s="160"/>
      <c r="W950" s="160"/>
      <c r="X950" s="160"/>
      <c r="Y950" s="160"/>
      <c r="Z950" s="29"/>
      <c r="AA950" s="29"/>
      <c r="AB950" s="29"/>
      <c r="AC950" s="29"/>
      <c r="AD950" s="29"/>
      <c r="AE950" s="29"/>
      <c r="AF950" s="29"/>
    </row>
    <row r="951" ht="23.25" customHeight="1">
      <c r="A951" s="29"/>
      <c r="B951" s="29"/>
      <c r="C951" s="29"/>
      <c r="D951" s="2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60"/>
      <c r="U951" s="160"/>
      <c r="V951" s="160"/>
      <c r="W951" s="160"/>
      <c r="X951" s="160"/>
      <c r="Y951" s="160"/>
      <c r="Z951" s="29"/>
      <c r="AA951" s="29"/>
      <c r="AB951" s="29"/>
      <c r="AC951" s="29"/>
      <c r="AD951" s="29"/>
      <c r="AE951" s="29"/>
      <c r="AF951" s="29"/>
    </row>
    <row r="952" ht="23.25" customHeight="1">
      <c r="A952" s="29"/>
      <c r="B952" s="29"/>
      <c r="C952" s="29"/>
      <c r="D952" s="2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60"/>
      <c r="U952" s="160"/>
      <c r="V952" s="160"/>
      <c r="W952" s="160"/>
      <c r="X952" s="160"/>
      <c r="Y952" s="160"/>
      <c r="Z952" s="29"/>
      <c r="AA952" s="29"/>
      <c r="AB952" s="29"/>
      <c r="AC952" s="29"/>
      <c r="AD952" s="29"/>
      <c r="AE952" s="29"/>
      <c r="AF952" s="29"/>
    </row>
    <row r="953" ht="23.25" customHeight="1">
      <c r="A953" s="29"/>
      <c r="B953" s="29"/>
      <c r="C953" s="29"/>
      <c r="D953" s="2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60"/>
      <c r="U953" s="160"/>
      <c r="V953" s="160"/>
      <c r="W953" s="160"/>
      <c r="X953" s="160"/>
      <c r="Y953" s="160"/>
      <c r="Z953" s="29"/>
      <c r="AA953" s="29"/>
      <c r="AB953" s="29"/>
      <c r="AC953" s="29"/>
      <c r="AD953" s="29"/>
      <c r="AE953" s="29"/>
      <c r="AF953" s="29"/>
    </row>
    <row r="954" ht="23.25" customHeight="1">
      <c r="A954" s="29"/>
      <c r="B954" s="29"/>
      <c r="C954" s="29"/>
      <c r="D954" s="2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60"/>
      <c r="U954" s="160"/>
      <c r="V954" s="160"/>
      <c r="W954" s="160"/>
      <c r="X954" s="160"/>
      <c r="Y954" s="160"/>
      <c r="Z954" s="29"/>
      <c r="AA954" s="29"/>
      <c r="AB954" s="29"/>
      <c r="AC954" s="29"/>
      <c r="AD954" s="29"/>
      <c r="AE954" s="29"/>
      <c r="AF954" s="29"/>
    </row>
    <row r="955" ht="23.25" customHeight="1">
      <c r="A955" s="29"/>
      <c r="B955" s="29"/>
      <c r="C955" s="29"/>
      <c r="D955" s="2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60"/>
      <c r="U955" s="160"/>
      <c r="V955" s="160"/>
      <c r="W955" s="160"/>
      <c r="X955" s="160"/>
      <c r="Y955" s="160"/>
      <c r="Z955" s="29"/>
      <c r="AA955" s="29"/>
      <c r="AB955" s="29"/>
      <c r="AC955" s="29"/>
      <c r="AD955" s="29"/>
      <c r="AE955" s="29"/>
      <c r="AF955" s="29"/>
    </row>
    <row r="956" ht="23.25" customHeight="1">
      <c r="A956" s="29"/>
      <c r="B956" s="29"/>
      <c r="C956" s="29"/>
      <c r="D956" s="2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60"/>
      <c r="U956" s="160"/>
      <c r="V956" s="160"/>
      <c r="W956" s="160"/>
      <c r="X956" s="160"/>
      <c r="Y956" s="160"/>
      <c r="Z956" s="29"/>
      <c r="AA956" s="29"/>
      <c r="AB956" s="29"/>
      <c r="AC956" s="29"/>
      <c r="AD956" s="29"/>
      <c r="AE956" s="29"/>
      <c r="AF956" s="29"/>
    </row>
    <row r="957" ht="23.25" customHeight="1">
      <c r="A957" s="29"/>
      <c r="B957" s="29"/>
      <c r="C957" s="29"/>
      <c r="D957" s="2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60"/>
      <c r="U957" s="160"/>
      <c r="V957" s="160"/>
      <c r="W957" s="160"/>
      <c r="X957" s="160"/>
      <c r="Y957" s="160"/>
      <c r="Z957" s="29"/>
      <c r="AA957" s="29"/>
      <c r="AB957" s="29"/>
      <c r="AC957" s="29"/>
      <c r="AD957" s="29"/>
      <c r="AE957" s="29"/>
      <c r="AF957" s="29"/>
    </row>
    <row r="958" ht="23.25" customHeight="1">
      <c r="A958" s="29"/>
      <c r="B958" s="29"/>
      <c r="C958" s="29"/>
      <c r="D958" s="2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60"/>
      <c r="U958" s="160"/>
      <c r="V958" s="160"/>
      <c r="W958" s="160"/>
      <c r="X958" s="160"/>
      <c r="Y958" s="160"/>
      <c r="Z958" s="29"/>
      <c r="AA958" s="29"/>
      <c r="AB958" s="29"/>
      <c r="AC958" s="29"/>
      <c r="AD958" s="29"/>
      <c r="AE958" s="29"/>
      <c r="AF958" s="29"/>
    </row>
    <row r="959" ht="23.25" customHeight="1">
      <c r="A959" s="29"/>
      <c r="B959" s="29"/>
      <c r="C959" s="29"/>
      <c r="D959" s="2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60"/>
      <c r="U959" s="160"/>
      <c r="V959" s="160"/>
      <c r="W959" s="160"/>
      <c r="X959" s="160"/>
      <c r="Y959" s="160"/>
      <c r="Z959" s="29"/>
      <c r="AA959" s="29"/>
      <c r="AB959" s="29"/>
      <c r="AC959" s="29"/>
      <c r="AD959" s="29"/>
      <c r="AE959" s="29"/>
      <c r="AF959" s="29"/>
    </row>
    <row r="960" ht="23.25" customHeight="1">
      <c r="A960" s="29"/>
      <c r="B960" s="29"/>
      <c r="C960" s="29"/>
      <c r="D960" s="2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60"/>
      <c r="U960" s="160"/>
      <c r="V960" s="160"/>
      <c r="W960" s="160"/>
      <c r="X960" s="160"/>
      <c r="Y960" s="160"/>
      <c r="Z960" s="29"/>
      <c r="AA960" s="29"/>
      <c r="AB960" s="29"/>
      <c r="AC960" s="29"/>
      <c r="AD960" s="29"/>
      <c r="AE960" s="29"/>
      <c r="AF960" s="29"/>
    </row>
    <row r="961" ht="23.25" customHeight="1">
      <c r="A961" s="29"/>
      <c r="B961" s="29"/>
      <c r="C961" s="29"/>
      <c r="D961" s="2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60"/>
      <c r="U961" s="160"/>
      <c r="V961" s="160"/>
      <c r="W961" s="160"/>
      <c r="X961" s="160"/>
      <c r="Y961" s="160"/>
      <c r="Z961" s="29"/>
      <c r="AA961" s="29"/>
      <c r="AB961" s="29"/>
      <c r="AC961" s="29"/>
      <c r="AD961" s="29"/>
      <c r="AE961" s="29"/>
      <c r="AF961" s="29"/>
    </row>
    <row r="962" ht="23.25" customHeight="1">
      <c r="A962" s="29"/>
      <c r="B962" s="29"/>
      <c r="C962" s="29"/>
      <c r="D962" s="2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60"/>
      <c r="U962" s="160"/>
      <c r="V962" s="160"/>
      <c r="W962" s="160"/>
      <c r="X962" s="160"/>
      <c r="Y962" s="160"/>
      <c r="Z962" s="29"/>
      <c r="AA962" s="29"/>
      <c r="AB962" s="29"/>
      <c r="AC962" s="29"/>
      <c r="AD962" s="29"/>
      <c r="AE962" s="29"/>
      <c r="AF962" s="29"/>
    </row>
    <row r="963" ht="23.25" customHeight="1">
      <c r="A963" s="29"/>
      <c r="B963" s="29"/>
      <c r="C963" s="29"/>
      <c r="D963" s="2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60"/>
      <c r="U963" s="160"/>
      <c r="V963" s="160"/>
      <c r="W963" s="160"/>
      <c r="X963" s="160"/>
      <c r="Y963" s="160"/>
      <c r="Z963" s="29"/>
      <c r="AA963" s="29"/>
      <c r="AB963" s="29"/>
      <c r="AC963" s="29"/>
      <c r="AD963" s="29"/>
      <c r="AE963" s="29"/>
      <c r="AF963" s="29"/>
    </row>
    <row r="964" ht="23.25" customHeight="1">
      <c r="A964" s="29"/>
      <c r="B964" s="29"/>
      <c r="C964" s="29"/>
      <c r="D964" s="2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60"/>
      <c r="U964" s="160"/>
      <c r="V964" s="160"/>
      <c r="W964" s="160"/>
      <c r="X964" s="160"/>
      <c r="Y964" s="160"/>
      <c r="Z964" s="29"/>
      <c r="AA964" s="29"/>
      <c r="AB964" s="29"/>
      <c r="AC964" s="29"/>
      <c r="AD964" s="29"/>
      <c r="AE964" s="29"/>
      <c r="AF964" s="29"/>
    </row>
    <row r="965" ht="23.25" customHeight="1">
      <c r="A965" s="29"/>
      <c r="B965" s="29"/>
      <c r="C965" s="29"/>
      <c r="D965" s="2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60"/>
      <c r="U965" s="160"/>
      <c r="V965" s="160"/>
      <c r="W965" s="160"/>
      <c r="X965" s="160"/>
      <c r="Y965" s="160"/>
      <c r="Z965" s="29"/>
      <c r="AA965" s="29"/>
      <c r="AB965" s="29"/>
      <c r="AC965" s="29"/>
      <c r="AD965" s="29"/>
      <c r="AE965" s="29"/>
      <c r="AF965" s="29"/>
    </row>
    <row r="966" ht="23.25" customHeight="1">
      <c r="A966" s="29"/>
      <c r="B966" s="29"/>
      <c r="C966" s="29"/>
      <c r="D966" s="2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60"/>
      <c r="U966" s="160"/>
      <c r="V966" s="160"/>
      <c r="W966" s="160"/>
      <c r="X966" s="160"/>
      <c r="Y966" s="160"/>
      <c r="Z966" s="29"/>
      <c r="AA966" s="29"/>
      <c r="AB966" s="29"/>
      <c r="AC966" s="29"/>
      <c r="AD966" s="29"/>
      <c r="AE966" s="29"/>
      <c r="AF966" s="29"/>
    </row>
    <row r="967" ht="23.25" customHeight="1">
      <c r="A967" s="29"/>
      <c r="B967" s="29"/>
      <c r="C967" s="29"/>
      <c r="D967" s="2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60"/>
      <c r="U967" s="160"/>
      <c r="V967" s="160"/>
      <c r="W967" s="160"/>
      <c r="X967" s="160"/>
      <c r="Y967" s="160"/>
      <c r="Z967" s="29"/>
      <c r="AA967" s="29"/>
      <c r="AB967" s="29"/>
      <c r="AC967" s="29"/>
      <c r="AD967" s="29"/>
      <c r="AE967" s="29"/>
      <c r="AF967" s="29"/>
    </row>
    <row r="968" ht="23.25" customHeight="1">
      <c r="A968" s="29"/>
      <c r="B968" s="29"/>
      <c r="C968" s="29"/>
      <c r="D968" s="2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60"/>
      <c r="U968" s="160"/>
      <c r="V968" s="160"/>
      <c r="W968" s="160"/>
      <c r="X968" s="160"/>
      <c r="Y968" s="160"/>
      <c r="Z968" s="29"/>
      <c r="AA968" s="29"/>
      <c r="AB968" s="29"/>
      <c r="AC968" s="29"/>
      <c r="AD968" s="29"/>
      <c r="AE968" s="29"/>
      <c r="AF968" s="29"/>
    </row>
    <row r="969" ht="23.25" customHeight="1">
      <c r="A969" s="29"/>
      <c r="B969" s="29"/>
      <c r="C969" s="29"/>
      <c r="D969" s="2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60"/>
      <c r="U969" s="160"/>
      <c r="V969" s="160"/>
      <c r="W969" s="160"/>
      <c r="X969" s="160"/>
      <c r="Y969" s="160"/>
      <c r="Z969" s="29"/>
      <c r="AA969" s="29"/>
      <c r="AB969" s="29"/>
      <c r="AC969" s="29"/>
      <c r="AD969" s="29"/>
      <c r="AE969" s="29"/>
      <c r="AF969" s="29"/>
    </row>
    <row r="970" ht="23.25" customHeight="1">
      <c r="A970" s="29"/>
      <c r="B970" s="29"/>
      <c r="C970" s="29"/>
      <c r="D970" s="2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60"/>
      <c r="U970" s="160"/>
      <c r="V970" s="160"/>
      <c r="W970" s="160"/>
      <c r="X970" s="160"/>
      <c r="Y970" s="160"/>
      <c r="Z970" s="29"/>
      <c r="AA970" s="29"/>
      <c r="AB970" s="29"/>
      <c r="AC970" s="29"/>
      <c r="AD970" s="29"/>
      <c r="AE970" s="29"/>
      <c r="AF970" s="29"/>
    </row>
    <row r="971" ht="23.25" customHeight="1">
      <c r="A971" s="29"/>
      <c r="B971" s="29"/>
      <c r="C971" s="29"/>
      <c r="D971" s="2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60"/>
      <c r="U971" s="160"/>
      <c r="V971" s="160"/>
      <c r="W971" s="160"/>
      <c r="X971" s="160"/>
      <c r="Y971" s="160"/>
      <c r="Z971" s="29"/>
      <c r="AA971" s="29"/>
      <c r="AB971" s="29"/>
      <c r="AC971" s="29"/>
      <c r="AD971" s="29"/>
      <c r="AE971" s="29"/>
      <c r="AF971" s="29"/>
    </row>
    <row r="972" ht="23.25" customHeight="1">
      <c r="A972" s="29"/>
      <c r="B972" s="29"/>
      <c r="C972" s="29"/>
      <c r="D972" s="2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60"/>
      <c r="U972" s="160"/>
      <c r="V972" s="160"/>
      <c r="W972" s="160"/>
      <c r="X972" s="160"/>
      <c r="Y972" s="160"/>
      <c r="Z972" s="29"/>
      <c r="AA972" s="29"/>
      <c r="AB972" s="29"/>
      <c r="AC972" s="29"/>
      <c r="AD972" s="29"/>
      <c r="AE972" s="29"/>
      <c r="AF972" s="29"/>
    </row>
    <row r="973" ht="23.25" customHeight="1">
      <c r="A973" s="29"/>
      <c r="B973" s="29"/>
      <c r="C973" s="29"/>
      <c r="D973" s="2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60"/>
      <c r="U973" s="160"/>
      <c r="V973" s="160"/>
      <c r="W973" s="160"/>
      <c r="X973" s="160"/>
      <c r="Y973" s="160"/>
      <c r="Z973" s="29"/>
      <c r="AA973" s="29"/>
      <c r="AB973" s="29"/>
      <c r="AC973" s="29"/>
      <c r="AD973" s="29"/>
      <c r="AE973" s="29"/>
      <c r="AF973" s="29"/>
    </row>
    <row r="974" ht="23.25" customHeight="1">
      <c r="A974" s="29"/>
      <c r="B974" s="29"/>
      <c r="C974" s="29"/>
      <c r="D974" s="2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60"/>
      <c r="U974" s="160"/>
      <c r="V974" s="160"/>
      <c r="W974" s="160"/>
      <c r="X974" s="160"/>
      <c r="Y974" s="160"/>
      <c r="Z974" s="29"/>
      <c r="AA974" s="29"/>
      <c r="AB974" s="29"/>
      <c r="AC974" s="29"/>
      <c r="AD974" s="29"/>
      <c r="AE974" s="29"/>
      <c r="AF974" s="29"/>
    </row>
    <row r="975" ht="23.25" customHeight="1">
      <c r="A975" s="29"/>
      <c r="B975" s="29"/>
      <c r="C975" s="29"/>
      <c r="D975" s="2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60"/>
      <c r="U975" s="160"/>
      <c r="V975" s="160"/>
      <c r="W975" s="160"/>
      <c r="X975" s="160"/>
      <c r="Y975" s="160"/>
      <c r="Z975" s="29"/>
      <c r="AA975" s="29"/>
      <c r="AB975" s="29"/>
      <c r="AC975" s="29"/>
      <c r="AD975" s="29"/>
      <c r="AE975" s="29"/>
      <c r="AF975" s="29"/>
    </row>
    <row r="976" ht="23.25" customHeight="1">
      <c r="A976" s="29"/>
      <c r="B976" s="29"/>
      <c r="C976" s="29"/>
      <c r="D976" s="2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60"/>
      <c r="U976" s="160"/>
      <c r="V976" s="160"/>
      <c r="W976" s="160"/>
      <c r="X976" s="160"/>
      <c r="Y976" s="160"/>
      <c r="Z976" s="29"/>
      <c r="AA976" s="29"/>
      <c r="AB976" s="29"/>
      <c r="AC976" s="29"/>
      <c r="AD976" s="29"/>
      <c r="AE976" s="29"/>
      <c r="AF976" s="29"/>
    </row>
    <row r="977" ht="23.25" customHeight="1">
      <c r="A977" s="29"/>
      <c r="B977" s="29"/>
      <c r="C977" s="29"/>
      <c r="D977" s="2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60"/>
      <c r="U977" s="160"/>
      <c r="V977" s="160"/>
      <c r="W977" s="160"/>
      <c r="X977" s="160"/>
      <c r="Y977" s="160"/>
      <c r="Z977" s="29"/>
      <c r="AA977" s="29"/>
      <c r="AB977" s="29"/>
      <c r="AC977" s="29"/>
      <c r="AD977" s="29"/>
      <c r="AE977" s="29"/>
      <c r="AF977" s="29"/>
    </row>
    <row r="978" ht="23.25" customHeight="1">
      <c r="A978" s="29"/>
      <c r="B978" s="29"/>
      <c r="C978" s="29"/>
      <c r="D978" s="2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60"/>
      <c r="U978" s="160"/>
      <c r="V978" s="160"/>
      <c r="W978" s="160"/>
      <c r="X978" s="160"/>
      <c r="Y978" s="160"/>
      <c r="Z978" s="29"/>
      <c r="AA978" s="29"/>
      <c r="AB978" s="29"/>
      <c r="AC978" s="29"/>
      <c r="AD978" s="29"/>
      <c r="AE978" s="29"/>
      <c r="AF978" s="29"/>
    </row>
    <row r="979" ht="23.25" customHeight="1">
      <c r="A979" s="29"/>
      <c r="B979" s="29"/>
      <c r="C979" s="29"/>
      <c r="D979" s="2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60"/>
      <c r="U979" s="160"/>
      <c r="V979" s="160"/>
      <c r="W979" s="160"/>
      <c r="X979" s="160"/>
      <c r="Y979" s="160"/>
      <c r="Z979" s="29"/>
      <c r="AA979" s="29"/>
      <c r="AB979" s="29"/>
      <c r="AC979" s="29"/>
      <c r="AD979" s="29"/>
      <c r="AE979" s="29"/>
      <c r="AF979" s="29"/>
    </row>
    <row r="980" ht="23.25" customHeight="1">
      <c r="A980" s="29"/>
      <c r="B980" s="29"/>
      <c r="C980" s="29"/>
      <c r="D980" s="2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60"/>
      <c r="U980" s="160"/>
      <c r="V980" s="160"/>
      <c r="W980" s="160"/>
      <c r="X980" s="160"/>
      <c r="Y980" s="160"/>
      <c r="Z980" s="29"/>
      <c r="AA980" s="29"/>
      <c r="AB980" s="29"/>
      <c r="AC980" s="29"/>
      <c r="AD980" s="29"/>
      <c r="AE980" s="29"/>
      <c r="AF980" s="29"/>
    </row>
    <row r="981" ht="23.25" customHeight="1">
      <c r="A981" s="29"/>
      <c r="B981" s="29"/>
      <c r="C981" s="29"/>
      <c r="D981" s="2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60"/>
      <c r="U981" s="160"/>
      <c r="V981" s="160"/>
      <c r="W981" s="160"/>
      <c r="X981" s="160"/>
      <c r="Y981" s="160"/>
      <c r="Z981" s="29"/>
      <c r="AA981" s="29"/>
      <c r="AB981" s="29"/>
      <c r="AC981" s="29"/>
      <c r="AD981" s="29"/>
      <c r="AE981" s="29"/>
      <c r="AF981" s="29"/>
    </row>
    <row r="982" ht="23.25" customHeight="1">
      <c r="A982" s="29"/>
      <c r="B982" s="29"/>
      <c r="C982" s="29"/>
      <c r="D982" s="2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60"/>
      <c r="U982" s="160"/>
      <c r="V982" s="160"/>
      <c r="W982" s="160"/>
      <c r="X982" s="160"/>
      <c r="Y982" s="160"/>
      <c r="Z982" s="29"/>
      <c r="AA982" s="29"/>
      <c r="AB982" s="29"/>
      <c r="AC982" s="29"/>
      <c r="AD982" s="29"/>
      <c r="AE982" s="29"/>
      <c r="AF982" s="29"/>
    </row>
    <row r="983" ht="23.25" customHeight="1">
      <c r="A983" s="29"/>
      <c r="B983" s="29"/>
      <c r="C983" s="29"/>
      <c r="D983" s="2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60"/>
      <c r="U983" s="160"/>
      <c r="V983" s="160"/>
      <c r="W983" s="160"/>
      <c r="X983" s="160"/>
      <c r="Y983" s="160"/>
      <c r="Z983" s="29"/>
      <c r="AA983" s="29"/>
      <c r="AB983" s="29"/>
      <c r="AC983" s="29"/>
      <c r="AD983" s="29"/>
      <c r="AE983" s="29"/>
      <c r="AF983" s="29"/>
    </row>
    <row r="984" ht="23.25" customHeight="1">
      <c r="A984" s="29"/>
      <c r="B984" s="29"/>
      <c r="C984" s="29"/>
      <c r="D984" s="2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60"/>
      <c r="U984" s="160"/>
      <c r="V984" s="160"/>
      <c r="W984" s="160"/>
      <c r="X984" s="160"/>
      <c r="Y984" s="160"/>
      <c r="Z984" s="29"/>
      <c r="AA984" s="29"/>
      <c r="AB984" s="29"/>
      <c r="AC984" s="29"/>
      <c r="AD984" s="29"/>
      <c r="AE984" s="29"/>
      <c r="AF984" s="29"/>
    </row>
    <row r="985" ht="23.25" customHeight="1">
      <c r="A985" s="29"/>
      <c r="B985" s="29"/>
      <c r="C985" s="29"/>
      <c r="D985" s="2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60"/>
      <c r="U985" s="160"/>
      <c r="V985" s="160"/>
      <c r="W985" s="160"/>
      <c r="X985" s="160"/>
      <c r="Y985" s="160"/>
      <c r="Z985" s="29"/>
      <c r="AA985" s="29"/>
      <c r="AB985" s="29"/>
      <c r="AC985" s="29"/>
      <c r="AD985" s="29"/>
      <c r="AE985" s="29"/>
      <c r="AF985" s="29"/>
    </row>
    <row r="986" ht="23.25" customHeight="1">
      <c r="A986" s="29"/>
      <c r="B986" s="29"/>
      <c r="C986" s="29"/>
      <c r="D986" s="2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60"/>
      <c r="U986" s="160"/>
      <c r="V986" s="160"/>
      <c r="W986" s="160"/>
      <c r="X986" s="160"/>
      <c r="Y986" s="160"/>
      <c r="Z986" s="29"/>
      <c r="AA986" s="29"/>
      <c r="AB986" s="29"/>
      <c r="AC986" s="29"/>
      <c r="AD986" s="29"/>
      <c r="AE986" s="29"/>
      <c r="AF986" s="29"/>
    </row>
    <row r="987" ht="23.25" customHeight="1">
      <c r="A987" s="29"/>
      <c r="B987" s="29"/>
      <c r="C987" s="29"/>
      <c r="D987" s="2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60"/>
      <c r="U987" s="160"/>
      <c r="V987" s="160"/>
      <c r="W987" s="160"/>
      <c r="X987" s="160"/>
      <c r="Y987" s="160"/>
      <c r="Z987" s="29"/>
      <c r="AA987" s="29"/>
      <c r="AB987" s="29"/>
      <c r="AC987" s="29"/>
      <c r="AD987" s="29"/>
      <c r="AE987" s="29"/>
      <c r="AF987" s="29"/>
    </row>
    <row r="988" ht="23.25" customHeight="1">
      <c r="A988" s="29"/>
      <c r="B988" s="29"/>
      <c r="C988" s="29"/>
      <c r="D988" s="2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60"/>
      <c r="U988" s="160"/>
      <c r="V988" s="160"/>
      <c r="W988" s="160"/>
      <c r="X988" s="160"/>
      <c r="Y988" s="160"/>
      <c r="Z988" s="29"/>
      <c r="AA988" s="29"/>
      <c r="AB988" s="29"/>
      <c r="AC988" s="29"/>
      <c r="AD988" s="29"/>
      <c r="AE988" s="29"/>
      <c r="AF988" s="29"/>
    </row>
    <row r="989" ht="23.25" customHeight="1">
      <c r="A989" s="29"/>
      <c r="B989" s="29"/>
      <c r="C989" s="29"/>
      <c r="D989" s="2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60"/>
      <c r="U989" s="160"/>
      <c r="V989" s="160"/>
      <c r="W989" s="160"/>
      <c r="X989" s="160"/>
      <c r="Y989" s="160"/>
      <c r="Z989" s="29"/>
      <c r="AA989" s="29"/>
      <c r="AB989" s="29"/>
      <c r="AC989" s="29"/>
      <c r="AD989" s="29"/>
      <c r="AE989" s="29"/>
      <c r="AF989" s="29"/>
    </row>
    <row r="990" ht="23.25" customHeight="1">
      <c r="A990" s="29"/>
      <c r="B990" s="29"/>
      <c r="C990" s="29"/>
      <c r="D990" s="2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60"/>
      <c r="U990" s="160"/>
      <c r="V990" s="160"/>
      <c r="W990" s="160"/>
      <c r="X990" s="160"/>
      <c r="Y990" s="160"/>
      <c r="Z990" s="29"/>
      <c r="AA990" s="29"/>
      <c r="AB990" s="29"/>
      <c r="AC990" s="29"/>
      <c r="AD990" s="29"/>
      <c r="AE990" s="29"/>
      <c r="AF990" s="29"/>
    </row>
    <row r="991" ht="23.25" customHeight="1">
      <c r="A991" s="29"/>
      <c r="B991" s="29"/>
      <c r="C991" s="29"/>
      <c r="D991" s="2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60"/>
      <c r="U991" s="160"/>
      <c r="V991" s="160"/>
      <c r="W991" s="160"/>
      <c r="X991" s="160"/>
      <c r="Y991" s="160"/>
      <c r="Z991" s="29"/>
      <c r="AA991" s="29"/>
      <c r="AB991" s="29"/>
      <c r="AC991" s="29"/>
      <c r="AD991" s="29"/>
      <c r="AE991" s="29"/>
      <c r="AF991" s="29"/>
    </row>
    <row r="992" ht="23.25" customHeight="1">
      <c r="A992" s="29"/>
      <c r="B992" s="29"/>
      <c r="C992" s="29"/>
      <c r="D992" s="2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60"/>
      <c r="U992" s="160"/>
      <c r="V992" s="160"/>
      <c r="W992" s="160"/>
      <c r="X992" s="160"/>
      <c r="Y992" s="160"/>
      <c r="Z992" s="29"/>
      <c r="AA992" s="29"/>
      <c r="AB992" s="29"/>
      <c r="AC992" s="29"/>
      <c r="AD992" s="29"/>
      <c r="AE992" s="29"/>
      <c r="AF992" s="29"/>
    </row>
  </sheetData>
  <mergeCells count="61">
    <mergeCell ref="K131:X131"/>
    <mergeCell ref="K132:X132"/>
    <mergeCell ref="K124:X124"/>
    <mergeCell ref="K125:X125"/>
    <mergeCell ref="K126:X126"/>
    <mergeCell ref="K127:X127"/>
    <mergeCell ref="J128:Y128"/>
    <mergeCell ref="K129:X129"/>
    <mergeCell ref="K130:X130"/>
    <mergeCell ref="B136:C141"/>
    <mergeCell ref="B142:D142"/>
    <mergeCell ref="A123:A127"/>
    <mergeCell ref="J123:J127"/>
    <mergeCell ref="B124:I127"/>
    <mergeCell ref="B128:H128"/>
    <mergeCell ref="A129:A133"/>
    <mergeCell ref="J129:J133"/>
    <mergeCell ref="B130:I133"/>
    <mergeCell ref="A1:B3"/>
    <mergeCell ref="G1:M1"/>
    <mergeCell ref="O1:AE2"/>
    <mergeCell ref="G2:M2"/>
    <mergeCell ref="G3:AE3"/>
    <mergeCell ref="A4:AE4"/>
    <mergeCell ref="A5:B5"/>
    <mergeCell ref="Z5:AE5"/>
    <mergeCell ref="E7:I7"/>
    <mergeCell ref="J7:N7"/>
    <mergeCell ref="O7:S7"/>
    <mergeCell ref="T7:X7"/>
    <mergeCell ref="Z7:AE7"/>
    <mergeCell ref="A8:A10"/>
    <mergeCell ref="B8:B10"/>
    <mergeCell ref="C8:C9"/>
    <mergeCell ref="D8:D9"/>
    <mergeCell ref="E8:H8"/>
    <mergeCell ref="J8:M8"/>
    <mergeCell ref="O8:R8"/>
    <mergeCell ref="T8:W8"/>
    <mergeCell ref="C5:F5"/>
    <mergeCell ref="G5:H5"/>
    <mergeCell ref="A6:B6"/>
    <mergeCell ref="E6:F6"/>
    <mergeCell ref="G6:H6"/>
    <mergeCell ref="I6:J6"/>
    <mergeCell ref="K6:L6"/>
    <mergeCell ref="Y11:AE122"/>
    <mergeCell ref="AE123:AE128"/>
    <mergeCell ref="AE129:AE143"/>
    <mergeCell ref="Z135:AD135"/>
    <mergeCell ref="I5:M5"/>
    <mergeCell ref="N5:Y5"/>
    <mergeCell ref="M6:Y6"/>
    <mergeCell ref="Z6:AA6"/>
    <mergeCell ref="AB6:AC6"/>
    <mergeCell ref="AD6:AE6"/>
    <mergeCell ref="K123:X123"/>
    <mergeCell ref="K133:X133"/>
    <mergeCell ref="Q134:Y134"/>
    <mergeCell ref="A135:S135"/>
    <mergeCell ref="B143:D143"/>
  </mergeCells>
  <dataValidations>
    <dataValidation type="list" allowBlank="1" showErrorMessage="1" sqref="G6">
      <formula1>$AF$6:$AF$9</formula1>
    </dataValidation>
    <dataValidation type="list" allowBlank="1" showInputMessage="1" showErrorMessage="1" prompt="PLEASE INSERT CORRECT VALUE" sqref="E137:S141">
      <formula1>"1,2,3,-"</formula1>
    </dataValidation>
  </dataValidations>
  <printOptions/>
  <pageMargins bottom="0.43" footer="0.0" header="0.0" left="0.24" right="0.18" top="0.38"/>
  <pageSetup fitToHeight="0" paperSize="9" orientation="portrait"/>
  <headerFooter>
    <oddFooter>&amp;CPage &amp;P of &amp;RFILE PREPARED BY DILIP SISODIA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4.43" defaultRowHeight="15.0"/>
  <cols>
    <col customWidth="1" min="1" max="1" width="3.86"/>
    <col customWidth="1" min="2" max="2" width="9.57"/>
    <col customWidth="1" min="3" max="3" width="26.29"/>
    <col customWidth="1" min="4" max="4" width="9.14"/>
    <col customWidth="1" min="5" max="13" width="5.71"/>
    <col customWidth="1" min="14" max="14" width="7.43"/>
    <col customWidth="1" min="15" max="15" width="6.14"/>
    <col customWidth="1" min="16" max="16" width="6.71"/>
    <col customWidth="1" min="17" max="17" width="6.14"/>
    <col customWidth="1" min="18" max="18" width="6.57"/>
    <col customWidth="1" min="19" max="19" width="5.86"/>
    <col customWidth="1" min="20" max="20" width="6.14"/>
    <col customWidth="1" min="21" max="21" width="5.71"/>
    <col customWidth="1" min="22" max="22" width="6.14"/>
    <col customWidth="1" min="23" max="23" width="6.29"/>
    <col customWidth="1" min="24" max="24" width="5.86"/>
    <col customWidth="1" min="25" max="25" width="7.86"/>
    <col customWidth="1" min="26" max="31" width="5.71"/>
    <col customWidth="1" min="32" max="32" width="7.43"/>
  </cols>
  <sheetData>
    <row r="1" ht="15.0" customHeight="1">
      <c r="A1" s="161" t="s">
        <v>0</v>
      </c>
      <c r="B1" s="2"/>
      <c r="C1" s="162">
        <f>IF('INTERACTION-PAGE'!C1="","",'INTERACTION-PAGE'!C1)</f>
        <v>70</v>
      </c>
      <c r="D1" s="4"/>
      <c r="E1" s="92">
        <f>IF('INTERACTION-PAGE'!E1="","",'INTERACTION-PAGE'!E1)</f>
        <v>3</v>
      </c>
      <c r="F1" s="6"/>
      <c r="G1" s="163" t="s">
        <v>1</v>
      </c>
      <c r="H1" s="8"/>
      <c r="I1" s="8"/>
      <c r="J1" s="8"/>
      <c r="K1" s="8"/>
      <c r="L1" s="8"/>
      <c r="M1" s="9"/>
      <c r="N1" s="92">
        <f>IF('INTERACTION-PAGE'!N1="","",'INTERACTION-PAGE'!N1)</f>
        <v>30</v>
      </c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5"/>
      <c r="AF1" s="5"/>
    </row>
    <row r="2" ht="19.5" customHeight="1">
      <c r="A2" s="14"/>
      <c r="B2" s="15"/>
      <c r="C2" s="162">
        <f>IF('INTERACTION-PAGE'!C2="","",'INTERACTION-PAGE'!C2)</f>
        <v>60</v>
      </c>
      <c r="D2" s="4"/>
      <c r="E2" s="92">
        <f>IF('INTERACTION-PAGE'!E2="","",'INTERACTION-PAGE'!E2)</f>
        <v>2</v>
      </c>
      <c r="F2" s="17">
        <f t="shared" ref="F2:F3" si="1">C1-C2</f>
        <v>10</v>
      </c>
      <c r="G2" s="163" t="s">
        <v>2</v>
      </c>
      <c r="H2" s="8"/>
      <c r="I2" s="8"/>
      <c r="J2" s="8"/>
      <c r="K2" s="8"/>
      <c r="L2" s="8"/>
      <c r="M2" s="9"/>
      <c r="N2" s="92">
        <f>IF('INTERACTION-PAGE'!N2="","",'INTERACTION-PAGE'!N2)</f>
        <v>60</v>
      </c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4"/>
      <c r="AF2" s="5"/>
    </row>
    <row r="3" ht="21.75" customHeight="1">
      <c r="A3" s="21"/>
      <c r="B3" s="22"/>
      <c r="C3" s="162">
        <f>IF('INTERACTION-PAGE'!C3="","",'INTERACTION-PAGE'!C3)</f>
        <v>50</v>
      </c>
      <c r="D3" s="4"/>
      <c r="E3" s="92">
        <f>IF('INTERACTION-PAGE'!E3="","",'INTERACTION-PAGE'!E3)</f>
        <v>1</v>
      </c>
      <c r="F3" s="17">
        <f t="shared" si="1"/>
        <v>10</v>
      </c>
      <c r="G3" s="166" t="s">
        <v>186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5"/>
      <c r="AF3" s="5"/>
    </row>
    <row r="4" ht="21.75" customHeight="1">
      <c r="A4" s="26" t="str">
        <f>IF('INTERACTION-PAGE'!A4="","",'INTERACTION-PAGE'!A4)</f>
        <v>TEZPUR UNIVERSITY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/>
    </row>
    <row r="5" ht="17.25" customHeight="1">
      <c r="A5" s="30" t="s">
        <v>5</v>
      </c>
      <c r="B5" s="31"/>
      <c r="C5" s="32" t="str">
        <f>IF('INTERACTION-PAGE'!C5="","",'INTERACTION-PAGE'!C5)</f>
        <v>Dr S. S. Satapathy</v>
      </c>
      <c r="D5" s="33"/>
      <c r="E5" s="33"/>
      <c r="F5" s="31"/>
      <c r="G5" s="34" t="s">
        <v>7</v>
      </c>
      <c r="H5" s="31"/>
      <c r="I5" s="35" t="str">
        <f>IF('INTERACTION-PAGE'!I5="","",'INTERACTION-PAGE'!I5)</f>
        <v>Mechanical Engineering</v>
      </c>
      <c r="J5" s="33"/>
      <c r="K5" s="33"/>
      <c r="L5" s="33"/>
      <c r="M5" s="31"/>
      <c r="N5" s="34" t="s">
        <v>187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1"/>
      <c r="Z5" s="36" t="str">
        <f>IF('INTERACTION-PAGE'!Z5="","",'INTERACTION-PAGE'!Z5)</f>
        <v>Introductory Computing</v>
      </c>
      <c r="AA5" s="33"/>
      <c r="AB5" s="33"/>
      <c r="AC5" s="33"/>
      <c r="AD5" s="33"/>
      <c r="AE5" s="37"/>
      <c r="AF5" s="29"/>
    </row>
    <row r="6" ht="15.75" customHeight="1">
      <c r="A6" s="38" t="s">
        <v>11</v>
      </c>
      <c r="B6" s="39"/>
      <c r="C6" s="40" t="str">
        <f>IF('INTERACTION-PAGE'!C6="","",'INTERACTION-PAGE'!C6)</f>
        <v>B. Tech</v>
      </c>
      <c r="D6" s="40"/>
      <c r="E6" s="41" t="s">
        <v>13</v>
      </c>
      <c r="F6" s="39"/>
      <c r="G6" s="42" t="str">
        <f>IF('INTERACTION-PAGE'!G6="","",'INTERACTION-PAGE'!G6)</f>
        <v>I</v>
      </c>
      <c r="H6" s="39"/>
      <c r="I6" s="41" t="s">
        <v>15</v>
      </c>
      <c r="J6" s="39"/>
      <c r="K6" s="42" t="str">
        <f>IF('INTERACTION-PAGE'!K6="","",'INTERACTION-PAGE'!K6)</f>
        <v>II</v>
      </c>
      <c r="L6" s="39"/>
      <c r="M6" s="41" t="s">
        <v>188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39"/>
      <c r="Z6" s="42" t="str">
        <f>IF('INTERACTION-PAGE'!Z6="","",'INTERACTION-PAGE'!Z6)</f>
        <v>CO103</v>
      </c>
      <c r="AA6" s="39"/>
      <c r="AB6" s="41" t="s">
        <v>19</v>
      </c>
      <c r="AC6" s="39"/>
      <c r="AD6" s="42" t="str">
        <f>IF('INTERACTION-PAGE'!AD6="","",'INTERACTION-PAGE'!AD6)</f>
        <v>2021-22</v>
      </c>
      <c r="AE6" s="44"/>
      <c r="AF6" s="45" t="s">
        <v>16</v>
      </c>
    </row>
    <row r="7" ht="21.75" customHeight="1">
      <c r="A7" s="46"/>
      <c r="B7" s="46"/>
      <c r="C7" s="46"/>
      <c r="D7" s="47"/>
      <c r="E7" s="48" t="s">
        <v>189</v>
      </c>
      <c r="F7" s="49"/>
      <c r="G7" s="49"/>
      <c r="H7" s="49"/>
      <c r="I7" s="50"/>
      <c r="J7" s="48" t="s">
        <v>190</v>
      </c>
      <c r="K7" s="49"/>
      <c r="L7" s="49"/>
      <c r="M7" s="49"/>
      <c r="N7" s="50"/>
      <c r="O7" s="48" t="s">
        <v>191</v>
      </c>
      <c r="P7" s="49"/>
      <c r="Q7" s="49"/>
      <c r="R7" s="49"/>
      <c r="S7" s="50"/>
      <c r="T7" s="48" t="s">
        <v>192</v>
      </c>
      <c r="U7" s="49"/>
      <c r="V7" s="49"/>
      <c r="W7" s="49"/>
      <c r="X7" s="50"/>
      <c r="Y7" s="46"/>
      <c r="Z7" s="48"/>
      <c r="AA7" s="49"/>
      <c r="AB7" s="49"/>
      <c r="AC7" s="49"/>
      <c r="AD7" s="49"/>
      <c r="AE7" s="50"/>
      <c r="AF7" s="45" t="s">
        <v>37</v>
      </c>
    </row>
    <row r="8" ht="15.75" customHeight="1">
      <c r="A8" s="51" t="s">
        <v>25</v>
      </c>
      <c r="B8" s="52" t="s">
        <v>26</v>
      </c>
      <c r="C8" s="53" t="s">
        <v>27</v>
      </c>
      <c r="D8" s="54" t="s">
        <v>28</v>
      </c>
      <c r="E8" s="55" t="s">
        <v>29</v>
      </c>
      <c r="F8" s="49"/>
      <c r="G8" s="49"/>
      <c r="H8" s="50"/>
      <c r="I8" s="56">
        <f>SUM(E10:I10)</f>
        <v>25</v>
      </c>
      <c r="J8" s="55" t="s">
        <v>29</v>
      </c>
      <c r="K8" s="49"/>
      <c r="L8" s="49"/>
      <c r="M8" s="50"/>
      <c r="N8" s="56">
        <f>SUM(J10:N10)</f>
        <v>25</v>
      </c>
      <c r="O8" s="55" t="s">
        <v>29</v>
      </c>
      <c r="P8" s="49"/>
      <c r="Q8" s="49"/>
      <c r="R8" s="50"/>
      <c r="S8" s="56">
        <f>SUM(O10:S10)</f>
        <v>40</v>
      </c>
      <c r="T8" s="55" t="s">
        <v>29</v>
      </c>
      <c r="U8" s="49"/>
      <c r="V8" s="49"/>
      <c r="W8" s="50"/>
      <c r="X8" s="56">
        <f>SUM(T10:X10)</f>
        <v>60</v>
      </c>
      <c r="Y8" s="57" t="s">
        <v>30</v>
      </c>
      <c r="Z8" s="57" t="s">
        <v>31</v>
      </c>
      <c r="AA8" s="57" t="s">
        <v>32</v>
      </c>
      <c r="AB8" s="57" t="s">
        <v>33</v>
      </c>
      <c r="AC8" s="57" t="s">
        <v>34</v>
      </c>
      <c r="AD8" s="57" t="s">
        <v>35</v>
      </c>
      <c r="AE8" s="57" t="s">
        <v>193</v>
      </c>
      <c r="AF8" s="45" t="s">
        <v>39</v>
      </c>
    </row>
    <row r="9" ht="14.25" customHeight="1">
      <c r="A9" s="58"/>
      <c r="B9" s="58"/>
      <c r="C9" s="59"/>
      <c r="D9" s="60"/>
      <c r="E9" s="57" t="s">
        <v>31</v>
      </c>
      <c r="F9" s="57" t="s">
        <v>32</v>
      </c>
      <c r="G9" s="57" t="s">
        <v>33</v>
      </c>
      <c r="H9" s="57" t="s">
        <v>34</v>
      </c>
      <c r="I9" s="57" t="s">
        <v>35</v>
      </c>
      <c r="J9" s="57" t="s">
        <v>31</v>
      </c>
      <c r="K9" s="57" t="s">
        <v>32</v>
      </c>
      <c r="L9" s="57" t="s">
        <v>33</v>
      </c>
      <c r="M9" s="57" t="s">
        <v>34</v>
      </c>
      <c r="N9" s="57" t="s">
        <v>35</v>
      </c>
      <c r="O9" s="57" t="s">
        <v>31</v>
      </c>
      <c r="P9" s="57" t="s">
        <v>32</v>
      </c>
      <c r="Q9" s="57" t="s">
        <v>33</v>
      </c>
      <c r="R9" s="57" t="s">
        <v>34</v>
      </c>
      <c r="S9" s="57" t="s">
        <v>35</v>
      </c>
      <c r="T9" s="57" t="s">
        <v>31</v>
      </c>
      <c r="U9" s="57" t="s">
        <v>32</v>
      </c>
      <c r="V9" s="57" t="s">
        <v>33</v>
      </c>
      <c r="W9" s="57" t="s">
        <v>34</v>
      </c>
      <c r="X9" s="61" t="s">
        <v>35</v>
      </c>
      <c r="Y9" s="62" t="s">
        <v>38</v>
      </c>
      <c r="Z9" s="62" t="s">
        <v>38</v>
      </c>
      <c r="AA9" s="62" t="s">
        <v>38</v>
      </c>
      <c r="AB9" s="62" t="s">
        <v>38</v>
      </c>
      <c r="AC9" s="62" t="s">
        <v>38</v>
      </c>
      <c r="AD9" s="62" t="s">
        <v>38</v>
      </c>
      <c r="AE9" s="61" t="s">
        <v>38</v>
      </c>
      <c r="AF9" s="29"/>
    </row>
    <row r="10" ht="13.5" customHeight="1">
      <c r="A10" s="59"/>
      <c r="B10" s="59"/>
      <c r="C10" s="63" t="s">
        <v>40</v>
      </c>
      <c r="D10" s="63" t="s">
        <v>41</v>
      </c>
      <c r="E10" s="92">
        <f>IF('INTERACTION-PAGE'!E10="","",'INTERACTION-PAGE'!E10)</f>
        <v>10</v>
      </c>
      <c r="F10" s="92">
        <f>IF('INTERACTION-PAGE'!F10="","",'INTERACTION-PAGE'!F10)</f>
        <v>15</v>
      </c>
      <c r="G10" s="92">
        <f>IF('INTERACTION-PAGE'!G10="","",'INTERACTION-PAGE'!G10)</f>
        <v>0</v>
      </c>
      <c r="H10" s="92">
        <f>IF('INTERACTION-PAGE'!H10="","",'INTERACTION-PAGE'!H10)</f>
        <v>0</v>
      </c>
      <c r="I10" s="92">
        <f>IF('INTERACTION-PAGE'!I10="","",'INTERACTION-PAGE'!I10)</f>
        <v>0</v>
      </c>
      <c r="J10" s="92">
        <f>IF('INTERACTION-PAGE'!J10="","",'INTERACTION-PAGE'!J10)</f>
        <v>15</v>
      </c>
      <c r="K10" s="92">
        <f>IF('INTERACTION-PAGE'!K10="","",'INTERACTION-PAGE'!K10)</f>
        <v>10</v>
      </c>
      <c r="L10" s="92">
        <f>IF('INTERACTION-PAGE'!L10="","",'INTERACTION-PAGE'!L10)</f>
        <v>0</v>
      </c>
      <c r="M10" s="92">
        <f>IF('INTERACTION-PAGE'!M10="","",'INTERACTION-PAGE'!M10)</f>
        <v>0</v>
      </c>
      <c r="N10" s="92">
        <f>IF('INTERACTION-PAGE'!N10="","",'INTERACTION-PAGE'!N10)</f>
        <v>0</v>
      </c>
      <c r="O10" s="92">
        <f>IF('INTERACTION-PAGE'!O10="","",'INTERACTION-PAGE'!O10)</f>
        <v>6</v>
      </c>
      <c r="P10" s="92">
        <f>IF('INTERACTION-PAGE'!P10="","",'INTERACTION-PAGE'!P10)</f>
        <v>4</v>
      </c>
      <c r="Q10" s="92">
        <f>IF('INTERACTION-PAGE'!Q10="","",'INTERACTION-PAGE'!Q10)</f>
        <v>20</v>
      </c>
      <c r="R10" s="92">
        <f>IF('INTERACTION-PAGE'!R10="","",'INTERACTION-PAGE'!R10)</f>
        <v>10</v>
      </c>
      <c r="S10" s="92">
        <f>IF('INTERACTION-PAGE'!S10="","",'INTERACTION-PAGE'!S10)</f>
        <v>0</v>
      </c>
      <c r="T10" s="92">
        <f>IF('INTERACTION-PAGE'!T10="","",'INTERACTION-PAGE'!T10)</f>
        <v>5</v>
      </c>
      <c r="U10" s="92">
        <f>IF('INTERACTION-PAGE'!U10="","",'INTERACTION-PAGE'!U10)</f>
        <v>10</v>
      </c>
      <c r="V10" s="92">
        <f>IF('INTERACTION-PAGE'!V10="","",'INTERACTION-PAGE'!V10)</f>
        <v>20</v>
      </c>
      <c r="W10" s="92">
        <f>IF('INTERACTION-PAGE'!W10="","",'INTERACTION-PAGE'!W10)</f>
        <v>25</v>
      </c>
      <c r="X10" s="92">
        <f>IF('INTERACTION-PAGE'!X10="","",'INTERACTION-PAGE'!X10)</f>
        <v>0</v>
      </c>
      <c r="Y10" s="64">
        <f>100 * SUM(E10:X10) / SUM(I$8, N$8, S$8, X$8)</f>
        <v>100</v>
      </c>
      <c r="Z10" s="62">
        <f t="shared" ref="Z10:AD10" si="2">IF((E10+J10+O10+T10)&gt;0,100,"")</f>
        <v>100</v>
      </c>
      <c r="AA10" s="62">
        <f t="shared" si="2"/>
        <v>100</v>
      </c>
      <c r="AB10" s="62">
        <f t="shared" si="2"/>
        <v>100</v>
      </c>
      <c r="AC10" s="62">
        <f t="shared" si="2"/>
        <v>100</v>
      </c>
      <c r="AD10" s="62" t="str">
        <f t="shared" si="2"/>
        <v/>
      </c>
      <c r="AE10" s="61">
        <f>IFERROR(AVERAGE(Z10:AD10),"")</f>
        <v>100</v>
      </c>
      <c r="AF10" s="29"/>
    </row>
    <row r="11" ht="15.0" customHeight="1">
      <c r="A11" s="65">
        <v>1.0</v>
      </c>
      <c r="B11" s="92" t="str">
        <f>IF('INTERACTION-PAGE'!B11="","",'INTERACTION-PAGE'!B11)</f>
        <v>MEB21001</v>
      </c>
      <c r="C11" s="92" t="str">
        <f>IF('INTERACTION-PAGE'!C11="","",'INTERACTION-PAGE'!C11)</f>
        <v>NEKIBUR  RAHMAN</v>
      </c>
      <c r="D11" s="92" t="str">
        <f>IF('INTERACTION-PAGE'!D11="","",'INTERACTION-PAGE'!D11)</f>
        <v/>
      </c>
      <c r="E11" s="92">
        <f>IF('INTERACTION-PAGE'!E11="","",'INTERACTION-PAGE'!E11)</f>
        <v>5</v>
      </c>
      <c r="F11" s="92">
        <f>IF('INTERACTION-PAGE'!F11="","",'INTERACTION-PAGE'!F11)</f>
        <v>7</v>
      </c>
      <c r="G11" s="92" t="str">
        <f>IF('INTERACTION-PAGE'!G11="","",'INTERACTION-PAGE'!G11)</f>
        <v/>
      </c>
      <c r="H11" s="92" t="str">
        <f>IF('INTERACTION-PAGE'!H11="","",'INTERACTION-PAGE'!H11)</f>
        <v/>
      </c>
      <c r="I11" s="92" t="str">
        <f>IF('INTERACTION-PAGE'!I11="","",'INTERACTION-PAGE'!I11)</f>
        <v/>
      </c>
      <c r="J11" s="92">
        <f>IF('INTERACTION-PAGE'!J11="","",'INTERACTION-PAGE'!J11)</f>
        <v>13</v>
      </c>
      <c r="K11" s="92">
        <f>IF('INTERACTION-PAGE'!K11="","",'INTERACTION-PAGE'!K11)</f>
        <v>8</v>
      </c>
      <c r="L11" s="92" t="str">
        <f>IF('INTERACTION-PAGE'!L11="","",'INTERACTION-PAGE'!L11)</f>
        <v/>
      </c>
      <c r="M11" s="92" t="str">
        <f>IF('INTERACTION-PAGE'!M11="","",'INTERACTION-PAGE'!M11)</f>
        <v/>
      </c>
      <c r="N11" s="92" t="str">
        <f>IF('INTERACTION-PAGE'!N11="","",'INTERACTION-PAGE'!N11)</f>
        <v/>
      </c>
      <c r="O11" s="92">
        <f>IF('INTERACTION-PAGE'!O11="","",'INTERACTION-PAGE'!O11)</f>
        <v>3</v>
      </c>
      <c r="P11" s="92">
        <f>IF('INTERACTION-PAGE'!P11="","",'INTERACTION-PAGE'!P11)</f>
        <v>2</v>
      </c>
      <c r="Q11" s="92">
        <f>IF('INTERACTION-PAGE'!Q11="","",'INTERACTION-PAGE'!Q11)</f>
        <v>8</v>
      </c>
      <c r="R11" s="92">
        <f>IF('INTERACTION-PAGE'!R11="","",'INTERACTION-PAGE'!R11)</f>
        <v>4</v>
      </c>
      <c r="S11" s="92" t="str">
        <f>IF('INTERACTION-PAGE'!S11="","",'INTERACTION-PAGE'!S11)</f>
        <v/>
      </c>
      <c r="T11" s="92">
        <f>IF('INTERACTION-PAGE'!T11="","",'INTERACTION-PAGE'!T11)</f>
        <v>1</v>
      </c>
      <c r="U11" s="92">
        <f>IF('INTERACTION-PAGE'!U11="","",'INTERACTION-PAGE'!U11)</f>
        <v>3</v>
      </c>
      <c r="V11" s="92">
        <f>IF('INTERACTION-PAGE'!V11="","",'INTERACTION-PAGE'!V11)</f>
        <v>6</v>
      </c>
      <c r="W11" s="92">
        <f>IF('INTERACTION-PAGE'!W11="","",'INTERACTION-PAGE'!W11)</f>
        <v>7</v>
      </c>
      <c r="X11" s="92" t="str">
        <f>IF('INTERACTION-PAGE'!X11="","",'INTERACTION-PAGE'!X11)</f>
        <v/>
      </c>
      <c r="Y11" s="167">
        <f>IF(OR( $B11="", $B11="AB", $B11="UR", $C11="", $C11="AB", $C11="UR", $D11="AB", $D11="UR"),"",(IF(OR(I$8&gt;0,N$8&gt;0,S$8&gt;0,X$8&gt;0),(100*SUM($E11:$X11)/(I$8+N$8+S$8+X$8))," ")))</f>
        <v>44.66666667</v>
      </c>
      <c r="Z11" s="167">
        <f t="shared" ref="Z11:AD11" si="3">IF(OR( $B11="", $B11="AB", $B11="UR", $C11="", $C11="AB", $C11="UR", $D11="AB", $D11="UR"),"",(IF(OR(E$10&gt;0,J$10&gt;0,O$10&gt;0,T$10&gt;0),(Z$10*(IF(AND(E$10&gt;0), IF(OR(E11="", E11="AB",E11="UR"),0,E11),0) +IF(AND(J$10&gt;0), IF(OR(J11="",J11="AB",J11=""),0,J11),0)+IF(AND(O$10&gt;0), IF(OR(O11="", O11="AB",O11="UR"),0,O11),0)+IF(AND(T$10&gt;0), IF(OR(T11="",T11="AB",T11="UR"),0,T11),0))/(E$10+J$10+O$10+T$10))," ")))</f>
        <v>61.11111111</v>
      </c>
      <c r="AA11" s="167">
        <f t="shared" si="3"/>
        <v>51.28205128</v>
      </c>
      <c r="AB11" s="167">
        <f t="shared" si="3"/>
        <v>35</v>
      </c>
      <c r="AC11" s="167">
        <f t="shared" si="3"/>
        <v>31.42857143</v>
      </c>
      <c r="AD11" s="167" t="str">
        <f t="shared" si="3"/>
        <v> </v>
      </c>
      <c r="AE11" s="168">
        <f t="shared" ref="AE11:AE125" si="5">IF(C11="","",IFERROR(AVERAGE(Z11:AD11),""))</f>
        <v>44.70543346</v>
      </c>
      <c r="AF11" s="29"/>
    </row>
    <row r="12" ht="15.0" customHeight="1">
      <c r="A12" s="79">
        <v>2.0</v>
      </c>
      <c r="B12" s="92" t="str">
        <f>IF('INTERACTION-PAGE'!B12="","",'INTERACTION-PAGE'!B12)</f>
        <v>MEB21003</v>
      </c>
      <c r="C12" s="92" t="str">
        <f>IF('INTERACTION-PAGE'!C12="","",'INTERACTION-PAGE'!C12)</f>
        <v>NILOATPAL  MAZUMDER</v>
      </c>
      <c r="D12" s="92" t="str">
        <f>IF('INTERACTION-PAGE'!D12="","",'INTERACTION-PAGE'!D12)</f>
        <v/>
      </c>
      <c r="E12" s="92">
        <f>IF('INTERACTION-PAGE'!E12="","",'INTERACTION-PAGE'!E12)</f>
        <v>8</v>
      </c>
      <c r="F12" s="92">
        <f>IF('INTERACTION-PAGE'!F12="","",'INTERACTION-PAGE'!F12)</f>
        <v>13</v>
      </c>
      <c r="G12" s="92" t="str">
        <f>IF('INTERACTION-PAGE'!G12="","",'INTERACTION-PAGE'!G12)</f>
        <v/>
      </c>
      <c r="H12" s="92" t="str">
        <f>IF('INTERACTION-PAGE'!H12="","",'INTERACTION-PAGE'!H12)</f>
        <v/>
      </c>
      <c r="I12" s="92" t="str">
        <f>IF('INTERACTION-PAGE'!I12="","",'INTERACTION-PAGE'!I12)</f>
        <v/>
      </c>
      <c r="J12" s="92">
        <f>IF('INTERACTION-PAGE'!J12="","",'INTERACTION-PAGE'!J12)</f>
        <v>14</v>
      </c>
      <c r="K12" s="92">
        <f>IF('INTERACTION-PAGE'!K12="","",'INTERACTION-PAGE'!K12)</f>
        <v>9</v>
      </c>
      <c r="L12" s="92" t="str">
        <f>IF('INTERACTION-PAGE'!L12="","",'INTERACTION-PAGE'!L12)</f>
        <v/>
      </c>
      <c r="M12" s="92" t="str">
        <f>IF('INTERACTION-PAGE'!M12="","",'INTERACTION-PAGE'!M12)</f>
        <v/>
      </c>
      <c r="N12" s="92" t="str">
        <f>IF('INTERACTION-PAGE'!N12="","",'INTERACTION-PAGE'!N12)</f>
        <v/>
      </c>
      <c r="O12" s="92">
        <f>IF('INTERACTION-PAGE'!O12="","",'INTERACTION-PAGE'!O12)</f>
        <v>3</v>
      </c>
      <c r="P12" s="92">
        <f>IF('INTERACTION-PAGE'!P12="","",'INTERACTION-PAGE'!P12)</f>
        <v>2</v>
      </c>
      <c r="Q12" s="92">
        <f>IF('INTERACTION-PAGE'!Q12="","",'INTERACTION-PAGE'!Q12)</f>
        <v>12</v>
      </c>
      <c r="R12" s="92">
        <f>IF('INTERACTION-PAGE'!R12="","",'INTERACTION-PAGE'!R12)</f>
        <v>6</v>
      </c>
      <c r="S12" s="92" t="str">
        <f>IF('INTERACTION-PAGE'!S12="","",'INTERACTION-PAGE'!S12)</f>
        <v/>
      </c>
      <c r="T12" s="92">
        <f>IF('INTERACTION-PAGE'!T12="","",'INTERACTION-PAGE'!T12)</f>
        <v>3</v>
      </c>
      <c r="U12" s="92">
        <f>IF('INTERACTION-PAGE'!U12="","",'INTERACTION-PAGE'!U12)</f>
        <v>5</v>
      </c>
      <c r="V12" s="92">
        <f>IF('INTERACTION-PAGE'!V12="","",'INTERACTION-PAGE'!V12)</f>
        <v>11</v>
      </c>
      <c r="W12" s="92">
        <f>IF('INTERACTION-PAGE'!W12="","",'INTERACTION-PAGE'!W12)</f>
        <v>13</v>
      </c>
      <c r="X12" s="92" t="str">
        <f>IF('INTERACTION-PAGE'!X12="","",'INTERACTION-PAGE'!X12)</f>
        <v/>
      </c>
      <c r="Y12" s="167">
        <f t="shared" ref="Y12:Y130" si="6">IF(OR( $B12="", $B12="AB", $B12="UR", $C12="", $C12="AB", $C12="UR", $D12="AB", $D12="UR"),"",(IF(OR(I$8&gt;0,N$8&gt;0,S$8&gt;0,X$8&gt;0),(100*SUM(E12:X12)/(I$8+N$8+S$8+X$8))," ")))</f>
        <v>66</v>
      </c>
      <c r="Z12" s="167">
        <f t="shared" ref="Z12:AD12" si="4">IF(OR( $B12="", $B12="AB", $B12="UR", $C12="", $C12="AB", $C12="UR", $D12="AB", $D12="UR"),"",(IF(OR(E$10&gt;0,J$10&gt;0,O$10&gt;0,T$10&gt;0),(Z$10*(IF(AND(E$10&gt;0), IF(OR(E12="", E12="AB",E12="UR"),0,E12),0) +IF(AND(J$10&gt;0), IF(OR(J12="",J12="AB",J12=""),0,J12),0)+IF(AND(O$10&gt;0), IF(OR(O12="", O12="AB",O12="UR"),0,O12),0)+IF(AND(T$10&gt;0), IF(OR(T12="",T12="AB",T12="UR"),0,T12),0))/(E$10+J$10+O$10+T$10))," ")))</f>
        <v>77.77777778</v>
      </c>
      <c r="AA12" s="167">
        <f t="shared" si="4"/>
        <v>74.35897436</v>
      </c>
      <c r="AB12" s="167">
        <f t="shared" si="4"/>
        <v>57.5</v>
      </c>
      <c r="AC12" s="167">
        <f t="shared" si="4"/>
        <v>54.28571429</v>
      </c>
      <c r="AD12" s="167" t="str">
        <f t="shared" si="4"/>
        <v> </v>
      </c>
      <c r="AE12" s="168">
        <f t="shared" si="5"/>
        <v>65.98061661</v>
      </c>
      <c r="AF12" s="29"/>
    </row>
    <row r="13" ht="15.0" customHeight="1">
      <c r="A13" s="65">
        <v>3.0</v>
      </c>
      <c r="B13" s="92" t="str">
        <f>IF('INTERACTION-PAGE'!B13="","",'INTERACTION-PAGE'!B13)</f>
        <v>MEB21004</v>
      </c>
      <c r="C13" s="169" t="str">
        <f>IF('INTERACTION-PAGE'!C13="","",'INTERACTION-PAGE'!C13)</f>
        <v>SHAHIL ALI MOSSADDIQUE</v>
      </c>
      <c r="D13" s="92" t="str">
        <f>IF('INTERACTION-PAGE'!D13="","",'INTERACTION-PAGE'!D13)</f>
        <v/>
      </c>
      <c r="E13" s="92">
        <f>IF('INTERACTION-PAGE'!E13="","",'INTERACTION-PAGE'!E13)</f>
        <v>5</v>
      </c>
      <c r="F13" s="92">
        <f>IF('INTERACTION-PAGE'!F13="","",'INTERACTION-PAGE'!F13)</f>
        <v>6.5</v>
      </c>
      <c r="G13" s="92" t="str">
        <f>IF('INTERACTION-PAGE'!G13="","",'INTERACTION-PAGE'!G13)</f>
        <v/>
      </c>
      <c r="H13" s="92" t="str">
        <f>IF('INTERACTION-PAGE'!H13="","",'INTERACTION-PAGE'!H13)</f>
        <v/>
      </c>
      <c r="I13" s="92" t="str">
        <f>IF('INTERACTION-PAGE'!I13="","",'INTERACTION-PAGE'!I13)</f>
        <v/>
      </c>
      <c r="J13" s="92">
        <f>IF('INTERACTION-PAGE'!J13="","",'INTERACTION-PAGE'!J13)</f>
        <v>14</v>
      </c>
      <c r="K13" s="92">
        <f>IF('INTERACTION-PAGE'!K13="","",'INTERACTION-PAGE'!K13)</f>
        <v>9</v>
      </c>
      <c r="L13" s="92" t="str">
        <f>IF('INTERACTION-PAGE'!L13="","",'INTERACTION-PAGE'!L13)</f>
        <v/>
      </c>
      <c r="M13" s="92" t="str">
        <f>IF('INTERACTION-PAGE'!M13="","",'INTERACTION-PAGE'!M13)</f>
        <v/>
      </c>
      <c r="N13" s="92" t="str">
        <f>IF('INTERACTION-PAGE'!N13="","",'INTERACTION-PAGE'!N13)</f>
        <v/>
      </c>
      <c r="O13" s="92">
        <f>IF('INTERACTION-PAGE'!O13="","",'INTERACTION-PAGE'!O13)</f>
        <v>2</v>
      </c>
      <c r="P13" s="92">
        <f>IF('INTERACTION-PAGE'!P13="","",'INTERACTION-PAGE'!P13)</f>
        <v>2</v>
      </c>
      <c r="Q13" s="92">
        <f>IF('INTERACTION-PAGE'!Q13="","",'INTERACTION-PAGE'!Q13)</f>
        <v>7</v>
      </c>
      <c r="R13" s="92">
        <f>IF('INTERACTION-PAGE'!R13="","",'INTERACTION-PAGE'!R13)</f>
        <v>4</v>
      </c>
      <c r="S13" s="92" t="str">
        <f>IF('INTERACTION-PAGE'!S13="","",'INTERACTION-PAGE'!S13)</f>
        <v/>
      </c>
      <c r="T13" s="92">
        <f>IF('INTERACTION-PAGE'!T13="","",'INTERACTION-PAGE'!T13)</f>
        <v>1</v>
      </c>
      <c r="U13" s="92">
        <f>IF('INTERACTION-PAGE'!U13="","",'INTERACTION-PAGE'!U13)</f>
        <v>1</v>
      </c>
      <c r="V13" s="92">
        <f>IF('INTERACTION-PAGE'!V13="","",'INTERACTION-PAGE'!V13)</f>
        <v>2</v>
      </c>
      <c r="W13" s="92">
        <f>IF('INTERACTION-PAGE'!W13="","",'INTERACTION-PAGE'!W13)</f>
        <v>2</v>
      </c>
      <c r="X13" s="92" t="str">
        <f>IF('INTERACTION-PAGE'!X13="","",'INTERACTION-PAGE'!X13)</f>
        <v/>
      </c>
      <c r="Y13" s="167">
        <f t="shared" si="6"/>
        <v>37</v>
      </c>
      <c r="Z13" s="167">
        <f t="shared" ref="Z13:AD13" si="7">IF(OR( $B13="", $B13="AB", $B13="UR", $C13="", $C13="AB", $C13="UR", $D13="AB", $D13="UR"),"",(IF(OR(E$10&gt;0,J$10&gt;0,O$10&gt;0,T$10&gt;0),(Z$10*(IF(AND(E$10&gt;0), IF(OR(E13="", E13="AB",E13="UR"),0,E13),0) +IF(AND(J$10&gt;0), IF(OR(J13="",J13="AB",J13=""),0,J13),0)+IF(AND(O$10&gt;0), IF(OR(O13="", O13="AB",O13="UR"),0,O13),0)+IF(AND(T$10&gt;0), IF(OR(T13="",T13="AB",T13="UR"),0,T13),0))/(E$10+J$10+O$10+T$10))," ")))</f>
        <v>61.11111111</v>
      </c>
      <c r="AA13" s="167">
        <f t="shared" si="7"/>
        <v>47.43589744</v>
      </c>
      <c r="AB13" s="167">
        <f t="shared" si="7"/>
        <v>22.5</v>
      </c>
      <c r="AC13" s="167">
        <f t="shared" si="7"/>
        <v>17.14285714</v>
      </c>
      <c r="AD13" s="167" t="str">
        <f t="shared" si="7"/>
        <v> </v>
      </c>
      <c r="AE13" s="168">
        <f t="shared" si="5"/>
        <v>37.04746642</v>
      </c>
      <c r="AF13" s="29"/>
    </row>
    <row r="14" ht="15.0" customHeight="1">
      <c r="A14" s="79">
        <v>4.0</v>
      </c>
      <c r="B14" s="92" t="str">
        <f>IF('INTERACTION-PAGE'!B14="","",'INTERACTION-PAGE'!B14)</f>
        <v>MEB21005</v>
      </c>
      <c r="C14" s="92" t="str">
        <f>IF('INTERACTION-PAGE'!C14="","",'INTERACTION-PAGE'!C14)</f>
        <v>CHANDRAK  BHATTACHARJEE</v>
      </c>
      <c r="D14" s="92" t="str">
        <f>IF('INTERACTION-PAGE'!D14="","",'INTERACTION-PAGE'!D14)</f>
        <v/>
      </c>
      <c r="E14" s="92">
        <f>IF('INTERACTION-PAGE'!E14="","",'INTERACTION-PAGE'!E14)</f>
        <v>8</v>
      </c>
      <c r="F14" s="92">
        <f>IF('INTERACTION-PAGE'!F14="","",'INTERACTION-PAGE'!F14)</f>
        <v>11.5</v>
      </c>
      <c r="G14" s="92" t="str">
        <f>IF('INTERACTION-PAGE'!G14="","",'INTERACTION-PAGE'!G14)</f>
        <v/>
      </c>
      <c r="H14" s="92" t="str">
        <f>IF('INTERACTION-PAGE'!H14="","",'INTERACTION-PAGE'!H14)</f>
        <v/>
      </c>
      <c r="I14" s="92" t="str">
        <f>IF('INTERACTION-PAGE'!I14="","",'INTERACTION-PAGE'!I14)</f>
        <v/>
      </c>
      <c r="J14" s="92">
        <f>IF('INTERACTION-PAGE'!J14="","",'INTERACTION-PAGE'!J14)</f>
        <v>13</v>
      </c>
      <c r="K14" s="92">
        <f>IF('INTERACTION-PAGE'!K14="","",'INTERACTION-PAGE'!K14)</f>
        <v>8</v>
      </c>
      <c r="L14" s="92" t="str">
        <f>IF('INTERACTION-PAGE'!L14="","",'INTERACTION-PAGE'!L14)</f>
        <v/>
      </c>
      <c r="M14" s="92" t="str">
        <f>IF('INTERACTION-PAGE'!M14="","",'INTERACTION-PAGE'!M14)</f>
        <v/>
      </c>
      <c r="N14" s="92" t="str">
        <f>IF('INTERACTION-PAGE'!N14="","",'INTERACTION-PAGE'!N14)</f>
        <v/>
      </c>
      <c r="O14" s="92">
        <f>IF('INTERACTION-PAGE'!O14="","",'INTERACTION-PAGE'!O14)</f>
        <v>4</v>
      </c>
      <c r="P14" s="92">
        <f>IF('INTERACTION-PAGE'!P14="","",'INTERACTION-PAGE'!P14)</f>
        <v>2</v>
      </c>
      <c r="Q14" s="92">
        <f>IF('INTERACTION-PAGE'!Q14="","",'INTERACTION-PAGE'!Q14)</f>
        <v>12.5</v>
      </c>
      <c r="R14" s="92">
        <f>IF('INTERACTION-PAGE'!R14="","",'INTERACTION-PAGE'!R14)</f>
        <v>6</v>
      </c>
      <c r="S14" s="92" t="str">
        <f>IF('INTERACTION-PAGE'!S14="","",'INTERACTION-PAGE'!S14)</f>
        <v/>
      </c>
      <c r="T14" s="92">
        <f>IF('INTERACTION-PAGE'!T14="","",'INTERACTION-PAGE'!T14)</f>
        <v>3</v>
      </c>
      <c r="U14" s="92">
        <f>IF('INTERACTION-PAGE'!U14="","",'INTERACTION-PAGE'!U14)</f>
        <v>5</v>
      </c>
      <c r="V14" s="92">
        <f>IF('INTERACTION-PAGE'!V14="","",'INTERACTION-PAGE'!V14)</f>
        <v>10</v>
      </c>
      <c r="W14" s="92">
        <f>IF('INTERACTION-PAGE'!W14="","",'INTERACTION-PAGE'!W14)</f>
        <v>12</v>
      </c>
      <c r="X14" s="92" t="str">
        <f>IF('INTERACTION-PAGE'!X14="","",'INTERACTION-PAGE'!X14)</f>
        <v/>
      </c>
      <c r="Y14" s="167">
        <f t="shared" si="6"/>
        <v>63.33333333</v>
      </c>
      <c r="Z14" s="167">
        <f t="shared" ref="Z14:AD14" si="8">IF(OR( $B14="", $B14="AB", $B14="UR", $C14="", $C14="AB", $C14="UR", $D14="AB", $D14="UR"),"",(IF(OR(E$10&gt;0,J$10&gt;0,O$10&gt;0,T$10&gt;0),(Z$10*(IF(AND(E$10&gt;0), IF(OR(E14="", E14="AB",E14="UR"),0,E14),0) +IF(AND(J$10&gt;0), IF(OR(J14="",J14="AB",J14=""),0,J14),0)+IF(AND(O$10&gt;0), IF(OR(O14="", O14="AB",O14="UR"),0,O14),0)+IF(AND(T$10&gt;0), IF(OR(T14="",T14="AB",T14="UR"),0,T14),0))/(E$10+J$10+O$10+T$10))," ")))</f>
        <v>77.77777778</v>
      </c>
      <c r="AA14" s="167">
        <f t="shared" si="8"/>
        <v>67.94871795</v>
      </c>
      <c r="AB14" s="167">
        <f t="shared" si="8"/>
        <v>56.25</v>
      </c>
      <c r="AC14" s="167">
        <f t="shared" si="8"/>
        <v>51.42857143</v>
      </c>
      <c r="AD14" s="167" t="str">
        <f t="shared" si="8"/>
        <v> </v>
      </c>
      <c r="AE14" s="168">
        <f t="shared" si="5"/>
        <v>63.35126679</v>
      </c>
      <c r="AF14" s="29"/>
    </row>
    <row r="15" ht="15.0" customHeight="1">
      <c r="A15" s="65">
        <v>5.0</v>
      </c>
      <c r="B15" s="92" t="str">
        <f>IF('INTERACTION-PAGE'!B15="","",'INTERACTION-PAGE'!B15)</f>
        <v>MEB21006</v>
      </c>
      <c r="C15" s="92" t="str">
        <f>IF('INTERACTION-PAGE'!C15="","",'INTERACTION-PAGE'!C15)</f>
        <v>SIVAM  KARMAKAR</v>
      </c>
      <c r="D15" s="92" t="str">
        <f>IF('INTERACTION-PAGE'!D15="","",'INTERACTION-PAGE'!D15)</f>
        <v/>
      </c>
      <c r="E15" s="92">
        <f>IF('INTERACTION-PAGE'!E15="","",'INTERACTION-PAGE'!E15)</f>
        <v>9</v>
      </c>
      <c r="F15" s="92">
        <f>IF('INTERACTION-PAGE'!F15="","",'INTERACTION-PAGE'!F15)</f>
        <v>12.5</v>
      </c>
      <c r="G15" s="92" t="str">
        <f>IF('INTERACTION-PAGE'!G15="","",'INTERACTION-PAGE'!G15)</f>
        <v/>
      </c>
      <c r="H15" s="92" t="str">
        <f>IF('INTERACTION-PAGE'!H15="","",'INTERACTION-PAGE'!H15)</f>
        <v/>
      </c>
      <c r="I15" s="92" t="str">
        <f>IF('INTERACTION-PAGE'!I15="","",'INTERACTION-PAGE'!I15)</f>
        <v/>
      </c>
      <c r="J15" s="92">
        <f>IF('INTERACTION-PAGE'!J15="","",'INTERACTION-PAGE'!J15)</f>
        <v>11</v>
      </c>
      <c r="K15" s="92">
        <f>IF('INTERACTION-PAGE'!K15="","",'INTERACTION-PAGE'!K15)</f>
        <v>8</v>
      </c>
      <c r="L15" s="92" t="str">
        <f>IF('INTERACTION-PAGE'!L15="","",'INTERACTION-PAGE'!L15)</f>
        <v/>
      </c>
      <c r="M15" s="92" t="str">
        <f>IF('INTERACTION-PAGE'!M15="","",'INTERACTION-PAGE'!M15)</f>
        <v/>
      </c>
      <c r="N15" s="92" t="str">
        <f>IF('INTERACTION-PAGE'!N15="","",'INTERACTION-PAGE'!N15)</f>
        <v/>
      </c>
      <c r="O15" s="92">
        <f>IF('INTERACTION-PAGE'!O15="","",'INTERACTION-PAGE'!O15)</f>
        <v>4</v>
      </c>
      <c r="P15" s="92">
        <f>IF('INTERACTION-PAGE'!P15="","",'INTERACTION-PAGE'!P15)</f>
        <v>3</v>
      </c>
      <c r="Q15" s="92">
        <f>IF('INTERACTION-PAGE'!Q15="","",'INTERACTION-PAGE'!Q15)</f>
        <v>13.5</v>
      </c>
      <c r="R15" s="92">
        <f>IF('INTERACTION-PAGE'!R15="","",'INTERACTION-PAGE'!R15)</f>
        <v>7</v>
      </c>
      <c r="S15" s="92" t="str">
        <f>IF('INTERACTION-PAGE'!S15="","",'INTERACTION-PAGE'!S15)</f>
        <v/>
      </c>
      <c r="T15" s="92">
        <f>IF('INTERACTION-PAGE'!T15="","",'INTERACTION-PAGE'!T15)</f>
        <v>2</v>
      </c>
      <c r="U15" s="92">
        <f>IF('INTERACTION-PAGE'!U15="","",'INTERACTION-PAGE'!U15)</f>
        <v>4</v>
      </c>
      <c r="V15" s="92">
        <f>IF('INTERACTION-PAGE'!V15="","",'INTERACTION-PAGE'!V15)</f>
        <v>9</v>
      </c>
      <c r="W15" s="92">
        <f>IF('INTERACTION-PAGE'!W15="","",'INTERACTION-PAGE'!W15)</f>
        <v>11</v>
      </c>
      <c r="X15" s="92" t="str">
        <f>IF('INTERACTION-PAGE'!X15="","",'INTERACTION-PAGE'!X15)</f>
        <v/>
      </c>
      <c r="Y15" s="167">
        <f t="shared" si="6"/>
        <v>62.66666667</v>
      </c>
      <c r="Z15" s="167">
        <f t="shared" ref="Z15:AD15" si="9">IF(OR( $B15="", $B15="AB", $B15="UR", $C15="", $C15="AB", $C15="UR", $D15="AB", $D15="UR"),"",(IF(OR(E$10&gt;0,J$10&gt;0,O$10&gt;0,T$10&gt;0),(Z$10*(IF(AND(E$10&gt;0), IF(OR(E15="", E15="AB",E15="UR"),0,E15),0) +IF(AND(J$10&gt;0), IF(OR(J15="",J15="AB",J15=""),0,J15),0)+IF(AND(O$10&gt;0), IF(OR(O15="", O15="AB",O15="UR"),0,O15),0)+IF(AND(T$10&gt;0), IF(OR(T15="",T15="AB",T15="UR"),0,T15),0))/(E$10+J$10+O$10+T$10))," ")))</f>
        <v>72.22222222</v>
      </c>
      <c r="AA15" s="167">
        <f t="shared" si="9"/>
        <v>70.51282051</v>
      </c>
      <c r="AB15" s="167">
        <f t="shared" si="9"/>
        <v>56.25</v>
      </c>
      <c r="AC15" s="167">
        <f t="shared" si="9"/>
        <v>51.42857143</v>
      </c>
      <c r="AD15" s="167" t="str">
        <f t="shared" si="9"/>
        <v> </v>
      </c>
      <c r="AE15" s="168">
        <f t="shared" si="5"/>
        <v>62.60340354</v>
      </c>
      <c r="AF15" s="29"/>
    </row>
    <row r="16" ht="15.0" customHeight="1">
      <c r="A16" s="79">
        <v>6.0</v>
      </c>
      <c r="B16" s="92" t="str">
        <f>IF('INTERACTION-PAGE'!B16="","",'INTERACTION-PAGE'!B16)</f>
        <v>MEB21007</v>
      </c>
      <c r="C16" s="92" t="str">
        <f>IF('INTERACTION-PAGE'!C16="","",'INTERACTION-PAGE'!C16)</f>
        <v>CHIRANJEEV  SHUBHAM</v>
      </c>
      <c r="D16" s="92" t="str">
        <f>IF('INTERACTION-PAGE'!D16="","",'INTERACTION-PAGE'!D16)</f>
        <v/>
      </c>
      <c r="E16" s="92">
        <f>IF('INTERACTION-PAGE'!E16="","",'INTERACTION-PAGE'!E16)</f>
        <v>6</v>
      </c>
      <c r="F16" s="92">
        <f>IF('INTERACTION-PAGE'!F16="","",'INTERACTION-PAGE'!F16)</f>
        <v>9</v>
      </c>
      <c r="G16" s="92" t="str">
        <f>IF('INTERACTION-PAGE'!G16="","",'INTERACTION-PAGE'!G16)</f>
        <v/>
      </c>
      <c r="H16" s="92" t="str">
        <f>IF('INTERACTION-PAGE'!H16="","",'INTERACTION-PAGE'!H16)</f>
        <v/>
      </c>
      <c r="I16" s="92" t="str">
        <f>IF('INTERACTION-PAGE'!I16="","",'INTERACTION-PAGE'!I16)</f>
        <v/>
      </c>
      <c r="J16" s="92">
        <f>IF('INTERACTION-PAGE'!J16="","",'INTERACTION-PAGE'!J16)</f>
        <v>14</v>
      </c>
      <c r="K16" s="92">
        <f>IF('INTERACTION-PAGE'!K16="","",'INTERACTION-PAGE'!K16)</f>
        <v>9</v>
      </c>
      <c r="L16" s="92" t="str">
        <f>IF('INTERACTION-PAGE'!L16="","",'INTERACTION-PAGE'!L16)</f>
        <v/>
      </c>
      <c r="M16" s="92" t="str">
        <f>IF('INTERACTION-PAGE'!M16="","",'INTERACTION-PAGE'!M16)</f>
        <v/>
      </c>
      <c r="N16" s="92" t="str">
        <f>IF('INTERACTION-PAGE'!N16="","",'INTERACTION-PAGE'!N16)</f>
        <v/>
      </c>
      <c r="O16" s="92">
        <f>IF('INTERACTION-PAGE'!O16="","",'INTERACTION-PAGE'!O16)</f>
        <v>3</v>
      </c>
      <c r="P16" s="92">
        <f>IF('INTERACTION-PAGE'!P16="","",'INTERACTION-PAGE'!P16)</f>
        <v>2</v>
      </c>
      <c r="Q16" s="92">
        <f>IF('INTERACTION-PAGE'!Q16="","",'INTERACTION-PAGE'!Q16)</f>
        <v>10</v>
      </c>
      <c r="R16" s="92">
        <f>IF('INTERACTION-PAGE'!R16="","",'INTERACTION-PAGE'!R16)</f>
        <v>5</v>
      </c>
      <c r="S16" s="92" t="str">
        <f>IF('INTERACTION-PAGE'!S16="","",'INTERACTION-PAGE'!S16)</f>
        <v/>
      </c>
      <c r="T16" s="92">
        <f>IF('INTERACTION-PAGE'!T16="","",'INTERACTION-PAGE'!T16)</f>
        <v>2</v>
      </c>
      <c r="U16" s="92">
        <f>IF('INTERACTION-PAGE'!U16="","",'INTERACTION-PAGE'!U16)</f>
        <v>4</v>
      </c>
      <c r="V16" s="92">
        <f>IF('INTERACTION-PAGE'!V16="","",'INTERACTION-PAGE'!V16)</f>
        <v>7</v>
      </c>
      <c r="W16" s="92">
        <f>IF('INTERACTION-PAGE'!W16="","",'INTERACTION-PAGE'!W16)</f>
        <v>9</v>
      </c>
      <c r="X16" s="92" t="str">
        <f>IF('INTERACTION-PAGE'!X16="","",'INTERACTION-PAGE'!X16)</f>
        <v/>
      </c>
      <c r="Y16" s="167">
        <f t="shared" si="6"/>
        <v>53.33333333</v>
      </c>
      <c r="Z16" s="167">
        <f t="shared" ref="Z16:AD16" si="10">IF(OR( $B16="", $B16="AB", $B16="UR", $C16="", $C16="AB", $C16="UR", $D16="AB", $D16="UR"),"",(IF(OR(E$10&gt;0,J$10&gt;0,O$10&gt;0,T$10&gt;0),(Z$10*(IF(AND(E$10&gt;0), IF(OR(E16="", E16="AB",E16="UR"),0,E16),0) +IF(AND(J$10&gt;0), IF(OR(J16="",J16="AB",J16=""),0,J16),0)+IF(AND(O$10&gt;0), IF(OR(O16="", O16="AB",O16="UR"),0,O16),0)+IF(AND(T$10&gt;0), IF(OR(T16="",T16="AB",T16="UR"),0,T16),0))/(E$10+J$10+O$10+T$10))," ")))</f>
        <v>69.44444444</v>
      </c>
      <c r="AA16" s="167">
        <f t="shared" si="10"/>
        <v>61.53846154</v>
      </c>
      <c r="AB16" s="167">
        <f t="shared" si="10"/>
        <v>42.5</v>
      </c>
      <c r="AC16" s="167">
        <f t="shared" si="10"/>
        <v>40</v>
      </c>
      <c r="AD16" s="167" t="str">
        <f t="shared" si="10"/>
        <v> </v>
      </c>
      <c r="AE16" s="168">
        <f t="shared" si="5"/>
        <v>53.3707265</v>
      </c>
      <c r="AF16" s="29"/>
    </row>
    <row r="17" ht="15.0" customHeight="1">
      <c r="A17" s="65">
        <v>7.0</v>
      </c>
      <c r="B17" s="92" t="str">
        <f>IF('INTERACTION-PAGE'!B17="","",'INTERACTION-PAGE'!B17)</f>
        <v>MEB21009</v>
      </c>
      <c r="C17" s="92" t="str">
        <f>IF('INTERACTION-PAGE'!C17="","",'INTERACTION-PAGE'!C17)</f>
        <v>OWEN RUMON GARG</v>
      </c>
      <c r="D17" s="92" t="str">
        <f>IF('INTERACTION-PAGE'!D17="","",'INTERACTION-PAGE'!D17)</f>
        <v/>
      </c>
      <c r="E17" s="92">
        <f>IF('INTERACTION-PAGE'!E17="","",'INTERACTION-PAGE'!E17)</f>
        <v>7</v>
      </c>
      <c r="F17" s="92">
        <f>IF('INTERACTION-PAGE'!F17="","",'INTERACTION-PAGE'!F17)</f>
        <v>11</v>
      </c>
      <c r="G17" s="92" t="str">
        <f>IF('INTERACTION-PAGE'!G17="","",'INTERACTION-PAGE'!G17)</f>
        <v/>
      </c>
      <c r="H17" s="92" t="str">
        <f>IF('INTERACTION-PAGE'!H17="","",'INTERACTION-PAGE'!H17)</f>
        <v/>
      </c>
      <c r="I17" s="92" t="str">
        <f>IF('INTERACTION-PAGE'!I17="","",'INTERACTION-PAGE'!I17)</f>
        <v/>
      </c>
      <c r="J17" s="92">
        <f>IF('INTERACTION-PAGE'!J17="","",'INTERACTION-PAGE'!J17)</f>
        <v>14</v>
      </c>
      <c r="K17" s="92">
        <f>IF('INTERACTION-PAGE'!K17="","",'INTERACTION-PAGE'!K17)</f>
        <v>9</v>
      </c>
      <c r="L17" s="92" t="str">
        <f>IF('INTERACTION-PAGE'!L17="","",'INTERACTION-PAGE'!L17)</f>
        <v/>
      </c>
      <c r="M17" s="92" t="str">
        <f>IF('INTERACTION-PAGE'!M17="","",'INTERACTION-PAGE'!M17)</f>
        <v/>
      </c>
      <c r="N17" s="92" t="str">
        <f>IF('INTERACTION-PAGE'!N17="","",'INTERACTION-PAGE'!N17)</f>
        <v/>
      </c>
      <c r="O17" s="92">
        <f>IF('INTERACTION-PAGE'!O17="","",'INTERACTION-PAGE'!O17)</f>
        <v>3</v>
      </c>
      <c r="P17" s="92">
        <f>IF('INTERACTION-PAGE'!P17="","",'INTERACTION-PAGE'!P17)</f>
        <v>2</v>
      </c>
      <c r="Q17" s="92">
        <f>IF('INTERACTION-PAGE'!Q17="","",'INTERACTION-PAGE'!Q17)</f>
        <v>10.5</v>
      </c>
      <c r="R17" s="92">
        <f>IF('INTERACTION-PAGE'!R17="","",'INTERACTION-PAGE'!R17)</f>
        <v>5</v>
      </c>
      <c r="S17" s="92" t="str">
        <f>IF('INTERACTION-PAGE'!S17="","",'INTERACTION-PAGE'!S17)</f>
        <v/>
      </c>
      <c r="T17" s="92">
        <f>IF('INTERACTION-PAGE'!T17="","",'INTERACTION-PAGE'!T17)</f>
        <v>2</v>
      </c>
      <c r="U17" s="92">
        <f>IF('INTERACTION-PAGE'!U17="","",'INTERACTION-PAGE'!U17)</f>
        <v>4</v>
      </c>
      <c r="V17" s="92">
        <f>IF('INTERACTION-PAGE'!V17="","",'INTERACTION-PAGE'!V17)</f>
        <v>7</v>
      </c>
      <c r="W17" s="92">
        <f>IF('INTERACTION-PAGE'!W17="","",'INTERACTION-PAGE'!W17)</f>
        <v>9</v>
      </c>
      <c r="X17" s="92" t="str">
        <f>IF('INTERACTION-PAGE'!X17="","",'INTERACTION-PAGE'!X17)</f>
        <v/>
      </c>
      <c r="Y17" s="167">
        <f t="shared" si="6"/>
        <v>55.66666667</v>
      </c>
      <c r="Z17" s="167">
        <f t="shared" ref="Z17:AD17" si="11">IF(OR( $B17="", $B17="AB", $B17="UR", $C17="", $C17="AB", $C17="UR", $D17="AB", $D17="UR"),"",(IF(OR(E$10&gt;0,J$10&gt;0,O$10&gt;0,T$10&gt;0),(Z$10*(IF(AND(E$10&gt;0), IF(OR(E17="", E17="AB",E17="UR"),0,E17),0) +IF(AND(J$10&gt;0), IF(OR(J17="",J17="AB",J17=""),0,J17),0)+IF(AND(O$10&gt;0), IF(OR(O17="", O17="AB",O17="UR"),0,O17),0)+IF(AND(T$10&gt;0), IF(OR(T17="",T17="AB",T17="UR"),0,T17),0))/(E$10+J$10+O$10+T$10))," ")))</f>
        <v>72.22222222</v>
      </c>
      <c r="AA17" s="167">
        <f t="shared" si="11"/>
        <v>66.66666667</v>
      </c>
      <c r="AB17" s="167">
        <f t="shared" si="11"/>
        <v>43.75</v>
      </c>
      <c r="AC17" s="167">
        <f t="shared" si="11"/>
        <v>40</v>
      </c>
      <c r="AD17" s="167" t="str">
        <f t="shared" si="11"/>
        <v> </v>
      </c>
      <c r="AE17" s="168">
        <f t="shared" si="5"/>
        <v>55.65972222</v>
      </c>
      <c r="AF17" s="29"/>
    </row>
    <row r="18" ht="15.0" customHeight="1">
      <c r="A18" s="79">
        <v>8.0</v>
      </c>
      <c r="B18" s="92" t="str">
        <f>IF('INTERACTION-PAGE'!B18="","",'INTERACTION-PAGE'!B18)</f>
        <v>MEB21012</v>
      </c>
      <c r="C18" s="92" t="str">
        <f>IF('INTERACTION-PAGE'!C18="","",'INTERACTION-PAGE'!C18)</f>
        <v>YUSUF  ALI</v>
      </c>
      <c r="D18" s="92" t="str">
        <f>IF('INTERACTION-PAGE'!D18="","",'INTERACTION-PAGE'!D18)</f>
        <v/>
      </c>
      <c r="E18" s="92">
        <f>IF('INTERACTION-PAGE'!E18="","",'INTERACTION-PAGE'!E18)</f>
        <v>5</v>
      </c>
      <c r="F18" s="92">
        <f>IF('INTERACTION-PAGE'!F18="","",'INTERACTION-PAGE'!F18)</f>
        <v>8.5</v>
      </c>
      <c r="G18" s="92" t="str">
        <f>IF('INTERACTION-PAGE'!G18="","",'INTERACTION-PAGE'!G18)</f>
        <v/>
      </c>
      <c r="H18" s="92" t="str">
        <f>IF('INTERACTION-PAGE'!H18="","",'INTERACTION-PAGE'!H18)</f>
        <v/>
      </c>
      <c r="I18" s="92" t="str">
        <f>IF('INTERACTION-PAGE'!I18="","",'INTERACTION-PAGE'!I18)</f>
        <v/>
      </c>
      <c r="J18" s="92">
        <f>IF('INTERACTION-PAGE'!J18="","",'INTERACTION-PAGE'!J18)</f>
        <v>13</v>
      </c>
      <c r="K18" s="92">
        <f>IF('INTERACTION-PAGE'!K18="","",'INTERACTION-PAGE'!K18)</f>
        <v>8</v>
      </c>
      <c r="L18" s="92" t="str">
        <f>IF('INTERACTION-PAGE'!L18="","",'INTERACTION-PAGE'!L18)</f>
        <v/>
      </c>
      <c r="M18" s="92" t="str">
        <f>IF('INTERACTION-PAGE'!M18="","",'INTERACTION-PAGE'!M18)</f>
        <v/>
      </c>
      <c r="N18" s="92" t="str">
        <f>IF('INTERACTION-PAGE'!N18="","",'INTERACTION-PAGE'!N18)</f>
        <v/>
      </c>
      <c r="O18" s="92">
        <f>IF('INTERACTION-PAGE'!O18="","",'INTERACTION-PAGE'!O18)</f>
        <v>3</v>
      </c>
      <c r="P18" s="92">
        <f>IF('INTERACTION-PAGE'!P18="","",'INTERACTION-PAGE'!P18)</f>
        <v>2</v>
      </c>
      <c r="Q18" s="92">
        <f>IF('INTERACTION-PAGE'!Q18="","",'INTERACTION-PAGE'!Q18)</f>
        <v>10</v>
      </c>
      <c r="R18" s="92">
        <f>IF('INTERACTION-PAGE'!R18="","",'INTERACTION-PAGE'!R18)</f>
        <v>5</v>
      </c>
      <c r="S18" s="92" t="str">
        <f>IF('INTERACTION-PAGE'!S18="","",'INTERACTION-PAGE'!S18)</f>
        <v/>
      </c>
      <c r="T18" s="92">
        <f>IF('INTERACTION-PAGE'!T18="","",'INTERACTION-PAGE'!T18)</f>
        <v>2</v>
      </c>
      <c r="U18" s="92">
        <f>IF('INTERACTION-PAGE'!U18="","",'INTERACTION-PAGE'!U18)</f>
        <v>3</v>
      </c>
      <c r="V18" s="92">
        <f>IF('INTERACTION-PAGE'!V18="","",'INTERACTION-PAGE'!V18)</f>
        <v>6</v>
      </c>
      <c r="W18" s="92">
        <f>IF('INTERACTION-PAGE'!W18="","",'INTERACTION-PAGE'!W18)</f>
        <v>7</v>
      </c>
      <c r="X18" s="92" t="str">
        <f>IF('INTERACTION-PAGE'!X18="","",'INTERACTION-PAGE'!X18)</f>
        <v/>
      </c>
      <c r="Y18" s="167">
        <f t="shared" si="6"/>
        <v>48.33333333</v>
      </c>
      <c r="Z18" s="167">
        <f t="shared" ref="Z18:AD18" si="12">IF(OR( $B18="", $B18="AB", $B18="UR", $C18="", $C18="AB", $C18="UR", $D18="AB", $D18="UR"),"",(IF(OR(E$10&gt;0,J$10&gt;0,O$10&gt;0,T$10&gt;0),(Z$10*(IF(AND(E$10&gt;0), IF(OR(E18="", E18="AB",E18="UR"),0,E18),0) +IF(AND(J$10&gt;0), IF(OR(J18="",J18="AB",J18=""),0,J18),0)+IF(AND(O$10&gt;0), IF(OR(O18="", O18="AB",O18="UR"),0,O18),0)+IF(AND(T$10&gt;0), IF(OR(T18="",T18="AB",T18="UR"),0,T18),0))/(E$10+J$10+O$10+T$10))," ")))</f>
        <v>63.88888889</v>
      </c>
      <c r="AA18" s="167">
        <f t="shared" si="12"/>
        <v>55.12820513</v>
      </c>
      <c r="AB18" s="167">
        <f t="shared" si="12"/>
        <v>40</v>
      </c>
      <c r="AC18" s="167">
        <f t="shared" si="12"/>
        <v>34.28571429</v>
      </c>
      <c r="AD18" s="167" t="str">
        <f t="shared" si="12"/>
        <v> </v>
      </c>
      <c r="AE18" s="168">
        <f t="shared" si="5"/>
        <v>48.32570208</v>
      </c>
      <c r="AF18" s="29"/>
    </row>
    <row r="19" ht="15.0" customHeight="1">
      <c r="A19" s="65">
        <v>9.0</v>
      </c>
      <c r="B19" s="92" t="str">
        <f>IF('INTERACTION-PAGE'!B19="","",'INTERACTION-PAGE'!B19)</f>
        <v>MEB21013</v>
      </c>
      <c r="C19" s="92" t="str">
        <f>IF('INTERACTION-PAGE'!C19="","",'INTERACTION-PAGE'!C19)</f>
        <v>MUSKAN  BORGOHAIN</v>
      </c>
      <c r="D19" s="92" t="str">
        <f>IF('INTERACTION-PAGE'!D19="","",'INTERACTION-PAGE'!D19)</f>
        <v/>
      </c>
      <c r="E19" s="92">
        <f>IF('INTERACTION-PAGE'!E19="","",'INTERACTION-PAGE'!E19)</f>
        <v>6</v>
      </c>
      <c r="F19" s="92">
        <f>IF('INTERACTION-PAGE'!F19="","",'INTERACTION-PAGE'!F19)</f>
        <v>8.5</v>
      </c>
      <c r="G19" s="92" t="str">
        <f>IF('INTERACTION-PAGE'!G19="","",'INTERACTION-PAGE'!G19)</f>
        <v/>
      </c>
      <c r="H19" s="92" t="str">
        <f>IF('INTERACTION-PAGE'!H19="","",'INTERACTION-PAGE'!H19)</f>
        <v/>
      </c>
      <c r="I19" s="92" t="str">
        <f>IF('INTERACTION-PAGE'!I19="","",'INTERACTION-PAGE'!I19)</f>
        <v/>
      </c>
      <c r="J19" s="92">
        <f>IF('INTERACTION-PAGE'!J19="","",'INTERACTION-PAGE'!J19)</f>
        <v>15</v>
      </c>
      <c r="K19" s="92">
        <f>IF('INTERACTION-PAGE'!K19="","",'INTERACTION-PAGE'!K19)</f>
        <v>10</v>
      </c>
      <c r="L19" s="92" t="str">
        <f>IF('INTERACTION-PAGE'!L19="","",'INTERACTION-PAGE'!L19)</f>
        <v/>
      </c>
      <c r="M19" s="92" t="str">
        <f>IF('INTERACTION-PAGE'!M19="","",'INTERACTION-PAGE'!M19)</f>
        <v/>
      </c>
      <c r="N19" s="92" t="str">
        <f>IF('INTERACTION-PAGE'!N19="","",'INTERACTION-PAGE'!N19)</f>
        <v/>
      </c>
      <c r="O19" s="92">
        <f>IF('INTERACTION-PAGE'!O19="","",'INTERACTION-PAGE'!O19)</f>
        <v>3</v>
      </c>
      <c r="P19" s="92">
        <f>IF('INTERACTION-PAGE'!P19="","",'INTERACTION-PAGE'!P19)</f>
        <v>2</v>
      </c>
      <c r="Q19" s="92">
        <f>IF('INTERACTION-PAGE'!Q19="","",'INTERACTION-PAGE'!Q19)</f>
        <v>11.5</v>
      </c>
      <c r="R19" s="92">
        <f>IF('INTERACTION-PAGE'!R19="","",'INTERACTION-PAGE'!R19)</f>
        <v>5</v>
      </c>
      <c r="S19" s="92" t="str">
        <f>IF('INTERACTION-PAGE'!S19="","",'INTERACTION-PAGE'!S19)</f>
        <v/>
      </c>
      <c r="T19" s="92">
        <f>IF('INTERACTION-PAGE'!T19="","",'INTERACTION-PAGE'!T19)</f>
        <v>2</v>
      </c>
      <c r="U19" s="92">
        <f>IF('INTERACTION-PAGE'!U19="","",'INTERACTION-PAGE'!U19)</f>
        <v>4</v>
      </c>
      <c r="V19" s="92">
        <f>IF('INTERACTION-PAGE'!V19="","",'INTERACTION-PAGE'!V19)</f>
        <v>8</v>
      </c>
      <c r="W19" s="92">
        <f>IF('INTERACTION-PAGE'!W19="","",'INTERACTION-PAGE'!W19)</f>
        <v>10.5</v>
      </c>
      <c r="X19" s="92" t="str">
        <f>IF('INTERACTION-PAGE'!X19="","",'INTERACTION-PAGE'!X19)</f>
        <v/>
      </c>
      <c r="Y19" s="167">
        <f t="shared" si="6"/>
        <v>57</v>
      </c>
      <c r="Z19" s="167">
        <f t="shared" ref="Z19:AD19" si="13">IF(OR( $B19="", $B19="AB", $B19="UR", $C19="", $C19="AB", $C19="UR", $D19="AB", $D19="UR"),"",(IF(OR(E$10&gt;0,J$10&gt;0,O$10&gt;0,T$10&gt;0),(Z$10*(IF(AND(E$10&gt;0), IF(OR(E19="", E19="AB",E19="UR"),0,E19),0) +IF(AND(J$10&gt;0), IF(OR(J19="",J19="AB",J19=""),0,J19),0)+IF(AND(O$10&gt;0), IF(OR(O19="", O19="AB",O19="UR"),0,O19),0)+IF(AND(T$10&gt;0), IF(OR(T19="",T19="AB",T19="UR"),0,T19),0))/(E$10+J$10+O$10+T$10))," ")))</f>
        <v>72.22222222</v>
      </c>
      <c r="AA19" s="167">
        <f t="shared" si="13"/>
        <v>62.82051282</v>
      </c>
      <c r="AB19" s="167">
        <f t="shared" si="13"/>
        <v>48.75</v>
      </c>
      <c r="AC19" s="167">
        <f t="shared" si="13"/>
        <v>44.28571429</v>
      </c>
      <c r="AD19" s="167" t="str">
        <f t="shared" si="13"/>
        <v> </v>
      </c>
      <c r="AE19" s="168">
        <f t="shared" si="5"/>
        <v>57.01961233</v>
      </c>
      <c r="AF19" s="29"/>
    </row>
    <row r="20" ht="15.0" customHeight="1">
      <c r="A20" s="79">
        <v>10.0</v>
      </c>
      <c r="B20" s="92" t="str">
        <f>IF('INTERACTION-PAGE'!B20="","",'INTERACTION-PAGE'!B20)</f>
        <v>MEB21014</v>
      </c>
      <c r="C20" s="92" t="str">
        <f>IF('INTERACTION-PAGE'!C20="","",'INTERACTION-PAGE'!C20)</f>
        <v>SARFARAZ SAMIM HAQUE</v>
      </c>
      <c r="D20" s="92" t="str">
        <f>IF('INTERACTION-PAGE'!D20="","",'INTERACTION-PAGE'!D20)</f>
        <v/>
      </c>
      <c r="E20" s="92">
        <f>IF('INTERACTION-PAGE'!E20="","",'INTERACTION-PAGE'!E20)</f>
        <v>8</v>
      </c>
      <c r="F20" s="92">
        <f>IF('INTERACTION-PAGE'!F20="","",'INTERACTION-PAGE'!F20)</f>
        <v>13</v>
      </c>
      <c r="G20" s="92" t="str">
        <f>IF('INTERACTION-PAGE'!G20="","",'INTERACTION-PAGE'!G20)</f>
        <v/>
      </c>
      <c r="H20" s="92" t="str">
        <f>IF('INTERACTION-PAGE'!H20="","",'INTERACTION-PAGE'!H20)</f>
        <v/>
      </c>
      <c r="I20" s="92" t="str">
        <f>IF('INTERACTION-PAGE'!I20="","",'INTERACTION-PAGE'!I20)</f>
        <v/>
      </c>
      <c r="J20" s="92">
        <f>IF('INTERACTION-PAGE'!J20="","",'INTERACTION-PAGE'!J20)</f>
        <v>14</v>
      </c>
      <c r="K20" s="92">
        <f>IF('INTERACTION-PAGE'!K20="","",'INTERACTION-PAGE'!K20)</f>
        <v>9</v>
      </c>
      <c r="L20" s="92" t="str">
        <f>IF('INTERACTION-PAGE'!L20="","",'INTERACTION-PAGE'!L20)</f>
        <v/>
      </c>
      <c r="M20" s="92" t="str">
        <f>IF('INTERACTION-PAGE'!M20="","",'INTERACTION-PAGE'!M20)</f>
        <v/>
      </c>
      <c r="N20" s="92" t="str">
        <f>IF('INTERACTION-PAGE'!N20="","",'INTERACTION-PAGE'!N20)</f>
        <v/>
      </c>
      <c r="O20" s="92">
        <f>IF('INTERACTION-PAGE'!O20="","",'INTERACTION-PAGE'!O20)</f>
        <v>3</v>
      </c>
      <c r="P20" s="92">
        <f>IF('INTERACTION-PAGE'!P20="","",'INTERACTION-PAGE'!P20)</f>
        <v>2</v>
      </c>
      <c r="Q20" s="92">
        <f>IF('INTERACTION-PAGE'!Q20="","",'INTERACTION-PAGE'!Q20)</f>
        <v>11</v>
      </c>
      <c r="R20" s="92">
        <f>IF('INTERACTION-PAGE'!R20="","",'INTERACTION-PAGE'!R20)</f>
        <v>6</v>
      </c>
      <c r="S20" s="92" t="str">
        <f>IF('INTERACTION-PAGE'!S20="","",'INTERACTION-PAGE'!S20)</f>
        <v/>
      </c>
      <c r="T20" s="92">
        <f>IF('INTERACTION-PAGE'!T20="","",'INTERACTION-PAGE'!T20)</f>
        <v>3</v>
      </c>
      <c r="U20" s="92">
        <f>IF('INTERACTION-PAGE'!U20="","",'INTERACTION-PAGE'!U20)</f>
        <v>5</v>
      </c>
      <c r="V20" s="92">
        <f>IF('INTERACTION-PAGE'!V20="","",'INTERACTION-PAGE'!V20)</f>
        <v>10</v>
      </c>
      <c r="W20" s="92">
        <f>IF('INTERACTION-PAGE'!W20="","",'INTERACTION-PAGE'!W20)</f>
        <v>12</v>
      </c>
      <c r="X20" s="92" t="str">
        <f>IF('INTERACTION-PAGE'!X20="","",'INTERACTION-PAGE'!X20)</f>
        <v/>
      </c>
      <c r="Y20" s="167">
        <f t="shared" si="6"/>
        <v>64</v>
      </c>
      <c r="Z20" s="167">
        <f t="shared" ref="Z20:AD20" si="14">IF(OR( $B20="", $B20="AB", $B20="UR", $C20="", $C20="AB", $C20="UR", $D20="AB", $D20="UR"),"",(IF(OR(E$10&gt;0,J$10&gt;0,O$10&gt;0,T$10&gt;0),(Z$10*(IF(AND(E$10&gt;0), IF(OR(E20="", E20="AB",E20="UR"),0,E20),0) +IF(AND(J$10&gt;0), IF(OR(J20="",J20="AB",J20=""),0,J20),0)+IF(AND(O$10&gt;0), IF(OR(O20="", O20="AB",O20="UR"),0,O20),0)+IF(AND(T$10&gt;0), IF(OR(T20="",T20="AB",T20="UR"),0,T20),0))/(E$10+J$10+O$10+T$10))," ")))</f>
        <v>77.77777778</v>
      </c>
      <c r="AA20" s="167">
        <f t="shared" si="14"/>
        <v>74.35897436</v>
      </c>
      <c r="AB20" s="167">
        <f t="shared" si="14"/>
        <v>52.5</v>
      </c>
      <c r="AC20" s="167">
        <f t="shared" si="14"/>
        <v>51.42857143</v>
      </c>
      <c r="AD20" s="167" t="str">
        <f t="shared" si="14"/>
        <v> </v>
      </c>
      <c r="AE20" s="168">
        <f t="shared" si="5"/>
        <v>64.01633089</v>
      </c>
      <c r="AF20" s="29"/>
    </row>
    <row r="21" ht="15.0" customHeight="1">
      <c r="A21" s="65">
        <v>11.0</v>
      </c>
      <c r="B21" s="92" t="str">
        <f>IF('INTERACTION-PAGE'!B21="","",'INTERACTION-PAGE'!B21)</f>
        <v>MEB21016</v>
      </c>
      <c r="C21" s="92" t="str">
        <f>IF('INTERACTION-PAGE'!C21="","",'INTERACTION-PAGE'!C21)</f>
        <v>ABHRAKIRAN  DAS</v>
      </c>
      <c r="D21" s="92" t="str">
        <f>IF('INTERACTION-PAGE'!D21="","",'INTERACTION-PAGE'!D21)</f>
        <v/>
      </c>
      <c r="E21" s="92">
        <f>IF('INTERACTION-PAGE'!E21="","",'INTERACTION-PAGE'!E21)</f>
        <v>7</v>
      </c>
      <c r="F21" s="92">
        <f>IF('INTERACTION-PAGE'!F21="","",'INTERACTION-PAGE'!F21)</f>
        <v>11</v>
      </c>
      <c r="G21" s="92" t="str">
        <f>IF('INTERACTION-PAGE'!G21="","",'INTERACTION-PAGE'!G21)</f>
        <v/>
      </c>
      <c r="H21" s="92" t="str">
        <f>IF('INTERACTION-PAGE'!H21="","",'INTERACTION-PAGE'!H21)</f>
        <v/>
      </c>
      <c r="I21" s="92" t="str">
        <f>IF('INTERACTION-PAGE'!I21="","",'INTERACTION-PAGE'!I21)</f>
        <v/>
      </c>
      <c r="J21" s="92">
        <f>IF('INTERACTION-PAGE'!J21="","",'INTERACTION-PAGE'!J21)</f>
        <v>14</v>
      </c>
      <c r="K21" s="92">
        <f>IF('INTERACTION-PAGE'!K21="","",'INTERACTION-PAGE'!K21)</f>
        <v>9</v>
      </c>
      <c r="L21" s="92" t="str">
        <f>IF('INTERACTION-PAGE'!L21="","",'INTERACTION-PAGE'!L21)</f>
        <v/>
      </c>
      <c r="M21" s="92" t="str">
        <f>IF('INTERACTION-PAGE'!M21="","",'INTERACTION-PAGE'!M21)</f>
        <v/>
      </c>
      <c r="N21" s="92" t="str">
        <f>IF('INTERACTION-PAGE'!N21="","",'INTERACTION-PAGE'!N21)</f>
        <v/>
      </c>
      <c r="O21" s="92">
        <f>IF('INTERACTION-PAGE'!O21="","",'INTERACTION-PAGE'!O21)</f>
        <v>1</v>
      </c>
      <c r="P21" s="92">
        <f>IF('INTERACTION-PAGE'!P21="","",'INTERACTION-PAGE'!P21)</f>
        <v>1</v>
      </c>
      <c r="Q21" s="92">
        <f>IF('INTERACTION-PAGE'!Q21="","",'INTERACTION-PAGE'!Q21)</f>
        <v>4.5</v>
      </c>
      <c r="R21" s="92">
        <f>IF('INTERACTION-PAGE'!R21="","",'INTERACTION-PAGE'!R21)</f>
        <v>2</v>
      </c>
      <c r="S21" s="92" t="str">
        <f>IF('INTERACTION-PAGE'!S21="","",'INTERACTION-PAGE'!S21)</f>
        <v/>
      </c>
      <c r="T21" s="92">
        <f>IF('INTERACTION-PAGE'!T21="","",'INTERACTION-PAGE'!T21)</f>
        <v>1</v>
      </c>
      <c r="U21" s="92">
        <f>IF('INTERACTION-PAGE'!U21="","",'INTERACTION-PAGE'!U21)</f>
        <v>2</v>
      </c>
      <c r="V21" s="92">
        <f>IF('INTERACTION-PAGE'!V21="","",'INTERACTION-PAGE'!V21)</f>
        <v>3</v>
      </c>
      <c r="W21" s="92">
        <f>IF('INTERACTION-PAGE'!W21="","",'INTERACTION-PAGE'!W21)</f>
        <v>3</v>
      </c>
      <c r="X21" s="92" t="str">
        <f>IF('INTERACTION-PAGE'!X21="","",'INTERACTION-PAGE'!X21)</f>
        <v/>
      </c>
      <c r="Y21" s="167">
        <f t="shared" si="6"/>
        <v>39</v>
      </c>
      <c r="Z21" s="167">
        <f t="shared" ref="Z21:AD21" si="15">IF(OR( $B21="", $B21="AB", $B21="UR", $C21="", $C21="AB", $C21="UR", $D21="AB", $D21="UR"),"",(IF(OR(E$10&gt;0,J$10&gt;0,O$10&gt;0,T$10&gt;0),(Z$10*(IF(AND(E$10&gt;0), IF(OR(E21="", E21="AB",E21="UR"),0,E21),0) +IF(AND(J$10&gt;0), IF(OR(J21="",J21="AB",J21=""),0,J21),0)+IF(AND(O$10&gt;0), IF(OR(O21="", O21="AB",O21="UR"),0,O21),0)+IF(AND(T$10&gt;0), IF(OR(T21="",T21="AB",T21="UR"),0,T21),0))/(E$10+J$10+O$10+T$10))," ")))</f>
        <v>63.88888889</v>
      </c>
      <c r="AA21" s="167">
        <f t="shared" si="15"/>
        <v>58.97435897</v>
      </c>
      <c r="AB21" s="167">
        <f t="shared" si="15"/>
        <v>18.75</v>
      </c>
      <c r="AC21" s="167">
        <f t="shared" si="15"/>
        <v>14.28571429</v>
      </c>
      <c r="AD21" s="167" t="str">
        <f t="shared" si="15"/>
        <v> </v>
      </c>
      <c r="AE21" s="168">
        <f t="shared" si="5"/>
        <v>38.97474054</v>
      </c>
      <c r="AF21" s="29"/>
    </row>
    <row r="22" ht="15.0" customHeight="1">
      <c r="A22" s="79">
        <v>12.0</v>
      </c>
      <c r="B22" s="92" t="str">
        <f>IF('INTERACTION-PAGE'!B22="","",'INTERACTION-PAGE'!B22)</f>
        <v>MEB21020</v>
      </c>
      <c r="C22" s="92" t="str">
        <f>IF('INTERACTION-PAGE'!C22="","",'INTERACTION-PAGE'!C22)</f>
        <v>ZAHEED  AKHTAR</v>
      </c>
      <c r="D22" s="92" t="str">
        <f>IF('INTERACTION-PAGE'!D22="","",'INTERACTION-PAGE'!D22)</f>
        <v/>
      </c>
      <c r="E22" s="92">
        <f>IF('INTERACTION-PAGE'!E22="","",'INTERACTION-PAGE'!E22)</f>
        <v>7</v>
      </c>
      <c r="F22" s="92">
        <f>IF('INTERACTION-PAGE'!F22="","",'INTERACTION-PAGE'!F22)</f>
        <v>9.5</v>
      </c>
      <c r="G22" s="92" t="str">
        <f>IF('INTERACTION-PAGE'!G22="","",'INTERACTION-PAGE'!G22)</f>
        <v/>
      </c>
      <c r="H22" s="92" t="str">
        <f>IF('INTERACTION-PAGE'!H22="","",'INTERACTION-PAGE'!H22)</f>
        <v/>
      </c>
      <c r="I22" s="92" t="str">
        <f>IF('INTERACTION-PAGE'!I22="","",'INTERACTION-PAGE'!I22)</f>
        <v/>
      </c>
      <c r="J22" s="92">
        <f>IF('INTERACTION-PAGE'!J22="","",'INTERACTION-PAGE'!J22)</f>
        <v>13</v>
      </c>
      <c r="K22" s="92">
        <f>IF('INTERACTION-PAGE'!K22="","",'INTERACTION-PAGE'!K22)</f>
        <v>8</v>
      </c>
      <c r="L22" s="92" t="str">
        <f>IF('INTERACTION-PAGE'!L22="","",'INTERACTION-PAGE'!L22)</f>
        <v/>
      </c>
      <c r="M22" s="92" t="str">
        <f>IF('INTERACTION-PAGE'!M22="","",'INTERACTION-PAGE'!M22)</f>
        <v/>
      </c>
      <c r="N22" s="92" t="str">
        <f>IF('INTERACTION-PAGE'!N22="","",'INTERACTION-PAGE'!N22)</f>
        <v/>
      </c>
      <c r="O22" s="92">
        <f>IF('INTERACTION-PAGE'!O22="","",'INTERACTION-PAGE'!O22)</f>
        <v>3</v>
      </c>
      <c r="P22" s="92">
        <f>IF('INTERACTION-PAGE'!P22="","",'INTERACTION-PAGE'!P22)</f>
        <v>2</v>
      </c>
      <c r="Q22" s="92">
        <f>IF('INTERACTION-PAGE'!Q22="","",'INTERACTION-PAGE'!Q22)</f>
        <v>11</v>
      </c>
      <c r="R22" s="92">
        <f>IF('INTERACTION-PAGE'!R22="","",'INTERACTION-PAGE'!R22)</f>
        <v>5</v>
      </c>
      <c r="S22" s="92" t="str">
        <f>IF('INTERACTION-PAGE'!S22="","",'INTERACTION-PAGE'!S22)</f>
        <v/>
      </c>
      <c r="T22" s="92">
        <f>IF('INTERACTION-PAGE'!T22="","",'INTERACTION-PAGE'!T22)</f>
        <v>2</v>
      </c>
      <c r="U22" s="92">
        <f>IF('INTERACTION-PAGE'!U22="","",'INTERACTION-PAGE'!U22)</f>
        <v>3</v>
      </c>
      <c r="V22" s="92">
        <f>IF('INTERACTION-PAGE'!V22="","",'INTERACTION-PAGE'!V22)</f>
        <v>6</v>
      </c>
      <c r="W22" s="92">
        <f>IF('INTERACTION-PAGE'!W22="","",'INTERACTION-PAGE'!W22)</f>
        <v>7.5</v>
      </c>
      <c r="X22" s="92" t="str">
        <f>IF('INTERACTION-PAGE'!X22="","",'INTERACTION-PAGE'!X22)</f>
        <v/>
      </c>
      <c r="Y22" s="167">
        <f t="shared" si="6"/>
        <v>51.33333333</v>
      </c>
      <c r="Z22" s="167">
        <f t="shared" ref="Z22:AD22" si="16">IF(OR( $B22="", $B22="AB", $B22="UR", $C22="", $C22="AB", $C22="UR", $D22="AB", $D22="UR"),"",(IF(OR(E$10&gt;0,J$10&gt;0,O$10&gt;0,T$10&gt;0),(Z$10*(IF(AND(E$10&gt;0), IF(OR(E22="", E22="AB",E22="UR"),0,E22),0) +IF(AND(J$10&gt;0), IF(OR(J22="",J22="AB",J22=""),0,J22),0)+IF(AND(O$10&gt;0), IF(OR(O22="", O22="AB",O22="UR"),0,O22),0)+IF(AND(T$10&gt;0), IF(OR(T22="",T22="AB",T22="UR"),0,T22),0))/(E$10+J$10+O$10+T$10))," ")))</f>
        <v>69.44444444</v>
      </c>
      <c r="AA22" s="167">
        <f t="shared" si="16"/>
        <v>57.69230769</v>
      </c>
      <c r="AB22" s="167">
        <f t="shared" si="16"/>
        <v>42.5</v>
      </c>
      <c r="AC22" s="167">
        <f t="shared" si="16"/>
        <v>35.71428571</v>
      </c>
      <c r="AD22" s="167" t="str">
        <f t="shared" si="16"/>
        <v> </v>
      </c>
      <c r="AE22" s="168">
        <f t="shared" si="5"/>
        <v>51.33775946</v>
      </c>
      <c r="AF22" s="29"/>
    </row>
    <row r="23" ht="15.0" customHeight="1">
      <c r="A23" s="65">
        <v>13.0</v>
      </c>
      <c r="B23" s="92" t="str">
        <f>IF('INTERACTION-PAGE'!B23="","",'INTERACTION-PAGE'!B23)</f>
        <v>MEB21021</v>
      </c>
      <c r="C23" s="92" t="str">
        <f>IF('INTERACTION-PAGE'!C23="","",'INTERACTION-PAGE'!C23)</f>
        <v>DHYANABH  SAIKIA</v>
      </c>
      <c r="D23" s="92" t="str">
        <f>IF('INTERACTION-PAGE'!D23="","",'INTERACTION-PAGE'!D23)</f>
        <v/>
      </c>
      <c r="E23" s="92">
        <f>IF('INTERACTION-PAGE'!E23="","",'INTERACTION-PAGE'!E23)</f>
        <v>6</v>
      </c>
      <c r="F23" s="92">
        <f>IF('INTERACTION-PAGE'!F23="","",'INTERACTION-PAGE'!F23)</f>
        <v>10</v>
      </c>
      <c r="G23" s="92" t="str">
        <f>IF('INTERACTION-PAGE'!G23="","",'INTERACTION-PAGE'!G23)</f>
        <v/>
      </c>
      <c r="H23" s="92" t="str">
        <f>IF('INTERACTION-PAGE'!H23="","",'INTERACTION-PAGE'!H23)</f>
        <v/>
      </c>
      <c r="I23" s="92" t="str">
        <f>IF('INTERACTION-PAGE'!I23="","",'INTERACTION-PAGE'!I23)</f>
        <v/>
      </c>
      <c r="J23" s="92">
        <f>IF('INTERACTION-PAGE'!J23="","",'INTERACTION-PAGE'!J23)</f>
        <v>11</v>
      </c>
      <c r="K23" s="92">
        <f>IF('INTERACTION-PAGE'!K23="","",'INTERACTION-PAGE'!K23)</f>
        <v>8</v>
      </c>
      <c r="L23" s="92" t="str">
        <f>IF('INTERACTION-PAGE'!L23="","",'INTERACTION-PAGE'!L23)</f>
        <v/>
      </c>
      <c r="M23" s="92" t="str">
        <f>IF('INTERACTION-PAGE'!M23="","",'INTERACTION-PAGE'!M23)</f>
        <v/>
      </c>
      <c r="N23" s="92" t="str">
        <f>IF('INTERACTION-PAGE'!N23="","",'INTERACTION-PAGE'!N23)</f>
        <v/>
      </c>
      <c r="O23" s="92">
        <f>IF('INTERACTION-PAGE'!O23="","",'INTERACTION-PAGE'!O23)</f>
        <v>3</v>
      </c>
      <c r="P23" s="92">
        <f>IF('INTERACTION-PAGE'!P23="","",'INTERACTION-PAGE'!P23)</f>
        <v>2</v>
      </c>
      <c r="Q23" s="92">
        <f>IF('INTERACTION-PAGE'!Q23="","",'INTERACTION-PAGE'!Q23)</f>
        <v>9</v>
      </c>
      <c r="R23" s="92">
        <f>IF('INTERACTION-PAGE'!R23="","",'INTERACTION-PAGE'!R23)</f>
        <v>5</v>
      </c>
      <c r="S23" s="92" t="str">
        <f>IF('INTERACTION-PAGE'!S23="","",'INTERACTION-PAGE'!S23)</f>
        <v/>
      </c>
      <c r="T23" s="92">
        <f>IF('INTERACTION-PAGE'!T23="","",'INTERACTION-PAGE'!T23)</f>
        <v>2</v>
      </c>
      <c r="U23" s="92">
        <f>IF('INTERACTION-PAGE'!U23="","",'INTERACTION-PAGE'!U23)</f>
        <v>3</v>
      </c>
      <c r="V23" s="92">
        <f>IF('INTERACTION-PAGE'!V23="","",'INTERACTION-PAGE'!V23)</f>
        <v>7</v>
      </c>
      <c r="W23" s="92">
        <f>IF('INTERACTION-PAGE'!W23="","",'INTERACTION-PAGE'!W23)</f>
        <v>7.5</v>
      </c>
      <c r="X23" s="92" t="str">
        <f>IF('INTERACTION-PAGE'!X23="","",'INTERACTION-PAGE'!X23)</f>
        <v/>
      </c>
      <c r="Y23" s="167">
        <f t="shared" si="6"/>
        <v>49</v>
      </c>
      <c r="Z23" s="167">
        <f t="shared" ref="Z23:AD23" si="17">IF(OR( $B23="", $B23="AB", $B23="UR", $C23="", $C23="AB", $C23="UR", $D23="AB", $D23="UR"),"",(IF(OR(E$10&gt;0,J$10&gt;0,O$10&gt;0,T$10&gt;0),(Z$10*(IF(AND(E$10&gt;0), IF(OR(E23="", E23="AB",E23="UR"),0,E23),0) +IF(AND(J$10&gt;0), IF(OR(J23="",J23="AB",J23=""),0,J23),0)+IF(AND(O$10&gt;0), IF(OR(O23="", O23="AB",O23="UR"),0,O23),0)+IF(AND(T$10&gt;0), IF(OR(T23="",T23="AB",T23="UR"),0,T23),0))/(E$10+J$10+O$10+T$10))," ")))</f>
        <v>61.11111111</v>
      </c>
      <c r="AA23" s="167">
        <f t="shared" si="17"/>
        <v>58.97435897</v>
      </c>
      <c r="AB23" s="167">
        <f t="shared" si="17"/>
        <v>40</v>
      </c>
      <c r="AC23" s="167">
        <f t="shared" si="17"/>
        <v>35.71428571</v>
      </c>
      <c r="AD23" s="167" t="str">
        <f t="shared" si="17"/>
        <v> </v>
      </c>
      <c r="AE23" s="168">
        <f t="shared" si="5"/>
        <v>48.94993895</v>
      </c>
      <c r="AF23" s="29"/>
    </row>
    <row r="24" ht="15.0" customHeight="1">
      <c r="A24" s="79">
        <v>14.0</v>
      </c>
      <c r="B24" s="92" t="str">
        <f>IF('INTERACTION-PAGE'!B24="","",'INTERACTION-PAGE'!B24)</f>
        <v>MEB21023</v>
      </c>
      <c r="C24" s="92" t="str">
        <f>IF('INTERACTION-PAGE'!C24="","",'INTERACTION-PAGE'!C24)</f>
        <v>PURBAHNI  KONWAR</v>
      </c>
      <c r="D24" s="92" t="str">
        <f>IF('INTERACTION-PAGE'!D24="","",'INTERACTION-PAGE'!D24)</f>
        <v/>
      </c>
      <c r="E24" s="92">
        <f>IF('INTERACTION-PAGE'!E24="","",'INTERACTION-PAGE'!E24)</f>
        <v>4</v>
      </c>
      <c r="F24" s="92">
        <f>IF('INTERACTION-PAGE'!F24="","",'INTERACTION-PAGE'!F24)</f>
        <v>6</v>
      </c>
      <c r="G24" s="92" t="str">
        <f>IF('INTERACTION-PAGE'!G24="","",'INTERACTION-PAGE'!G24)</f>
        <v/>
      </c>
      <c r="H24" s="92" t="str">
        <f>IF('INTERACTION-PAGE'!H24="","",'INTERACTION-PAGE'!H24)</f>
        <v/>
      </c>
      <c r="I24" s="92" t="str">
        <f>IF('INTERACTION-PAGE'!I24="","",'INTERACTION-PAGE'!I24)</f>
        <v/>
      </c>
      <c r="J24" s="92">
        <f>IF('INTERACTION-PAGE'!J24="","",'INTERACTION-PAGE'!J24)</f>
        <v>14</v>
      </c>
      <c r="K24" s="92">
        <f>IF('INTERACTION-PAGE'!K24="","",'INTERACTION-PAGE'!K24)</f>
        <v>9</v>
      </c>
      <c r="L24" s="92" t="str">
        <f>IF('INTERACTION-PAGE'!L24="","",'INTERACTION-PAGE'!L24)</f>
        <v/>
      </c>
      <c r="M24" s="92" t="str">
        <f>IF('INTERACTION-PAGE'!M24="","",'INTERACTION-PAGE'!M24)</f>
        <v/>
      </c>
      <c r="N24" s="92" t="str">
        <f>IF('INTERACTION-PAGE'!N24="","",'INTERACTION-PAGE'!N24)</f>
        <v/>
      </c>
      <c r="O24" s="92">
        <f>IF('INTERACTION-PAGE'!O24="","",'INTERACTION-PAGE'!O24)</f>
        <v>2</v>
      </c>
      <c r="P24" s="92">
        <f>IF('INTERACTION-PAGE'!P24="","",'INTERACTION-PAGE'!P24)</f>
        <v>1</v>
      </c>
      <c r="Q24" s="92">
        <f>IF('INTERACTION-PAGE'!Q24="","",'INTERACTION-PAGE'!Q24)</f>
        <v>7.5</v>
      </c>
      <c r="R24" s="92">
        <f>IF('INTERACTION-PAGE'!R24="","",'INTERACTION-PAGE'!R24)</f>
        <v>3</v>
      </c>
      <c r="S24" s="92" t="str">
        <f>IF('INTERACTION-PAGE'!S24="","",'INTERACTION-PAGE'!S24)</f>
        <v/>
      </c>
      <c r="T24" s="92">
        <f>IF('INTERACTION-PAGE'!T24="","",'INTERACTION-PAGE'!T24)</f>
        <v>2</v>
      </c>
      <c r="U24" s="92">
        <f>IF('INTERACTION-PAGE'!U24="","",'INTERACTION-PAGE'!U24)</f>
        <v>4</v>
      </c>
      <c r="V24" s="92">
        <f>IF('INTERACTION-PAGE'!V24="","",'INTERACTION-PAGE'!V24)</f>
        <v>7</v>
      </c>
      <c r="W24" s="92">
        <f>IF('INTERACTION-PAGE'!W24="","",'INTERACTION-PAGE'!W24)</f>
        <v>8</v>
      </c>
      <c r="X24" s="92" t="str">
        <f>IF('INTERACTION-PAGE'!X24="","",'INTERACTION-PAGE'!X24)</f>
        <v/>
      </c>
      <c r="Y24" s="167">
        <f t="shared" si="6"/>
        <v>45</v>
      </c>
      <c r="Z24" s="167">
        <f t="shared" ref="Z24:AD24" si="18">IF(OR( $B24="", $B24="AB", $B24="UR", $C24="", $C24="AB", $C24="UR", $D24="AB", $D24="UR"),"",(IF(OR(E$10&gt;0,J$10&gt;0,O$10&gt;0,T$10&gt;0),(Z$10*(IF(AND(E$10&gt;0), IF(OR(E24="", E24="AB",E24="UR"),0,E24),0) +IF(AND(J$10&gt;0), IF(OR(J24="",J24="AB",J24=""),0,J24),0)+IF(AND(O$10&gt;0), IF(OR(O24="", O24="AB",O24="UR"),0,O24),0)+IF(AND(T$10&gt;0), IF(OR(T24="",T24="AB",T24="UR"),0,T24),0))/(E$10+J$10+O$10+T$10))," ")))</f>
        <v>61.11111111</v>
      </c>
      <c r="AA24" s="167">
        <f t="shared" si="18"/>
        <v>51.28205128</v>
      </c>
      <c r="AB24" s="167">
        <f t="shared" si="18"/>
        <v>36.25</v>
      </c>
      <c r="AC24" s="167">
        <f t="shared" si="18"/>
        <v>31.42857143</v>
      </c>
      <c r="AD24" s="167" t="str">
        <f t="shared" si="18"/>
        <v> </v>
      </c>
      <c r="AE24" s="168">
        <f t="shared" si="5"/>
        <v>45.01793346</v>
      </c>
      <c r="AF24" s="29"/>
    </row>
    <row r="25" ht="15.0" customHeight="1">
      <c r="A25" s="65">
        <v>15.0</v>
      </c>
      <c r="B25" s="92" t="str">
        <f>IF('INTERACTION-PAGE'!B25="","",'INTERACTION-PAGE'!B25)</f>
        <v>MEB21024</v>
      </c>
      <c r="C25" s="92" t="str">
        <f>IF('INTERACTION-PAGE'!C25="","",'INTERACTION-PAGE'!C25)</f>
        <v>ASHANKUR  BORGOHAIN</v>
      </c>
      <c r="D25" s="92" t="str">
        <f>IF('INTERACTION-PAGE'!D25="","",'INTERACTION-PAGE'!D25)</f>
        <v/>
      </c>
      <c r="E25" s="92">
        <f>IF('INTERACTION-PAGE'!E25="","",'INTERACTION-PAGE'!E25)</f>
        <v>4</v>
      </c>
      <c r="F25" s="92">
        <f>IF('INTERACTION-PAGE'!F25="","",'INTERACTION-PAGE'!F25)</f>
        <v>7</v>
      </c>
      <c r="G25" s="92" t="str">
        <f>IF('INTERACTION-PAGE'!G25="","",'INTERACTION-PAGE'!G25)</f>
        <v/>
      </c>
      <c r="H25" s="92" t="str">
        <f>IF('INTERACTION-PAGE'!H25="","",'INTERACTION-PAGE'!H25)</f>
        <v/>
      </c>
      <c r="I25" s="92" t="str">
        <f>IF('INTERACTION-PAGE'!I25="","",'INTERACTION-PAGE'!I25)</f>
        <v/>
      </c>
      <c r="J25" s="92">
        <f>IF('INTERACTION-PAGE'!J25="","",'INTERACTION-PAGE'!J25)</f>
        <v>13</v>
      </c>
      <c r="K25" s="92">
        <f>IF('INTERACTION-PAGE'!K25="","",'INTERACTION-PAGE'!K25)</f>
        <v>8</v>
      </c>
      <c r="L25" s="92" t="str">
        <f>IF('INTERACTION-PAGE'!L25="","",'INTERACTION-PAGE'!L25)</f>
        <v/>
      </c>
      <c r="M25" s="92" t="str">
        <f>IF('INTERACTION-PAGE'!M25="","",'INTERACTION-PAGE'!M25)</f>
        <v/>
      </c>
      <c r="N25" s="92" t="str">
        <f>IF('INTERACTION-PAGE'!N25="","",'INTERACTION-PAGE'!N25)</f>
        <v/>
      </c>
      <c r="O25" s="92">
        <f>IF('INTERACTION-PAGE'!O25="","",'INTERACTION-PAGE'!O25)</f>
        <v>2</v>
      </c>
      <c r="P25" s="92">
        <f>IF('INTERACTION-PAGE'!P25="","",'INTERACTION-PAGE'!P25)</f>
        <v>1</v>
      </c>
      <c r="Q25" s="92">
        <f>IF('INTERACTION-PAGE'!Q25="","",'INTERACTION-PAGE'!Q25)</f>
        <v>7.5</v>
      </c>
      <c r="R25" s="92">
        <f>IF('INTERACTION-PAGE'!R25="","",'INTERACTION-PAGE'!R25)</f>
        <v>4</v>
      </c>
      <c r="S25" s="92" t="str">
        <f>IF('INTERACTION-PAGE'!S25="","",'INTERACTION-PAGE'!S25)</f>
        <v/>
      </c>
      <c r="T25" s="92">
        <f>IF('INTERACTION-PAGE'!T25="","",'INTERACTION-PAGE'!T25)</f>
        <v>2</v>
      </c>
      <c r="U25" s="92">
        <f>IF('INTERACTION-PAGE'!U25="","",'INTERACTION-PAGE'!U25)</f>
        <v>4</v>
      </c>
      <c r="V25" s="92">
        <f>IF('INTERACTION-PAGE'!V25="","",'INTERACTION-PAGE'!V25)</f>
        <v>8</v>
      </c>
      <c r="W25" s="92">
        <f>IF('INTERACTION-PAGE'!W25="","",'INTERACTION-PAGE'!W25)</f>
        <v>10.5</v>
      </c>
      <c r="X25" s="92" t="str">
        <f>IF('INTERACTION-PAGE'!X25="","",'INTERACTION-PAGE'!X25)</f>
        <v/>
      </c>
      <c r="Y25" s="167">
        <f t="shared" si="6"/>
        <v>47.33333333</v>
      </c>
      <c r="Z25" s="167">
        <f t="shared" ref="Z25:AD25" si="19">IF(OR( $B25="", $B25="AB", $B25="UR", $C25="", $C25="AB", $C25="UR", $D25="AB", $D25="UR"),"",(IF(OR(E$10&gt;0,J$10&gt;0,O$10&gt;0,T$10&gt;0),(Z$10*(IF(AND(E$10&gt;0), IF(OR(E25="", E25="AB",E25="UR"),0,E25),0) +IF(AND(J$10&gt;0), IF(OR(J25="",J25="AB",J25=""),0,J25),0)+IF(AND(O$10&gt;0), IF(OR(O25="", O25="AB",O25="UR"),0,O25),0)+IF(AND(T$10&gt;0), IF(OR(T25="",T25="AB",T25="UR"),0,T25),0))/(E$10+J$10+O$10+T$10))," ")))</f>
        <v>58.33333333</v>
      </c>
      <c r="AA25" s="167">
        <f t="shared" si="19"/>
        <v>51.28205128</v>
      </c>
      <c r="AB25" s="167">
        <f t="shared" si="19"/>
        <v>38.75</v>
      </c>
      <c r="AC25" s="167">
        <f t="shared" si="19"/>
        <v>41.42857143</v>
      </c>
      <c r="AD25" s="167" t="str">
        <f t="shared" si="19"/>
        <v> </v>
      </c>
      <c r="AE25" s="168">
        <f t="shared" si="5"/>
        <v>47.44848901</v>
      </c>
      <c r="AF25" s="29"/>
    </row>
    <row r="26" ht="15.0" customHeight="1">
      <c r="A26" s="79">
        <v>16.0</v>
      </c>
      <c r="B26" s="92" t="str">
        <f>IF('INTERACTION-PAGE'!B26="","",'INTERACTION-PAGE'!B26)</f>
        <v>MEB21025</v>
      </c>
      <c r="C26" s="92" t="str">
        <f>IF('INTERACTION-PAGE'!C26="","",'INTERACTION-PAGE'!C26)</f>
        <v>SUBHAM  DEY</v>
      </c>
      <c r="D26" s="92" t="str">
        <f>IF('INTERACTION-PAGE'!D26="","",'INTERACTION-PAGE'!D26)</f>
        <v/>
      </c>
      <c r="E26" s="92">
        <f>IF('INTERACTION-PAGE'!E26="","",'INTERACTION-PAGE'!E26)</f>
        <v>2</v>
      </c>
      <c r="F26" s="92">
        <f>IF('INTERACTION-PAGE'!F26="","",'INTERACTION-PAGE'!F26)</f>
        <v>3</v>
      </c>
      <c r="G26" s="92" t="str">
        <f>IF('INTERACTION-PAGE'!G26="","",'INTERACTION-PAGE'!G26)</f>
        <v/>
      </c>
      <c r="H26" s="92" t="str">
        <f>IF('INTERACTION-PAGE'!H26="","",'INTERACTION-PAGE'!H26)</f>
        <v/>
      </c>
      <c r="I26" s="92" t="str">
        <f>IF('INTERACTION-PAGE'!I26="","",'INTERACTION-PAGE'!I26)</f>
        <v/>
      </c>
      <c r="J26" s="92">
        <f>IF('INTERACTION-PAGE'!J26="","",'INTERACTION-PAGE'!J26)</f>
        <v>9</v>
      </c>
      <c r="K26" s="92">
        <f>IF('INTERACTION-PAGE'!K26="","",'INTERACTION-PAGE'!K26)</f>
        <v>6</v>
      </c>
      <c r="L26" s="92" t="str">
        <f>IF('INTERACTION-PAGE'!L26="","",'INTERACTION-PAGE'!L26)</f>
        <v/>
      </c>
      <c r="M26" s="92" t="str">
        <f>IF('INTERACTION-PAGE'!M26="","",'INTERACTION-PAGE'!M26)</f>
        <v/>
      </c>
      <c r="N26" s="92" t="str">
        <f>IF('INTERACTION-PAGE'!N26="","",'INTERACTION-PAGE'!N26)</f>
        <v/>
      </c>
      <c r="O26" s="92">
        <f>IF('INTERACTION-PAGE'!O26="","",'INTERACTION-PAGE'!O26)</f>
        <v>2</v>
      </c>
      <c r="P26" s="92">
        <f>IF('INTERACTION-PAGE'!P26="","",'INTERACTION-PAGE'!P26)</f>
        <v>1</v>
      </c>
      <c r="Q26" s="92">
        <f>IF('INTERACTION-PAGE'!Q26="","",'INTERACTION-PAGE'!Q26)</f>
        <v>7</v>
      </c>
      <c r="R26" s="92">
        <f>IF('INTERACTION-PAGE'!R26="","",'INTERACTION-PAGE'!R26)</f>
        <v>3</v>
      </c>
      <c r="S26" s="92" t="str">
        <f>IF('INTERACTION-PAGE'!S26="","",'INTERACTION-PAGE'!S26)</f>
        <v/>
      </c>
      <c r="T26" s="92">
        <f>IF('INTERACTION-PAGE'!T26="","",'INTERACTION-PAGE'!T26)</f>
        <v>2</v>
      </c>
      <c r="U26" s="92">
        <f>IF('INTERACTION-PAGE'!U26="","",'INTERACTION-PAGE'!U26)</f>
        <v>3</v>
      </c>
      <c r="V26" s="92">
        <f>IF('INTERACTION-PAGE'!V26="","",'INTERACTION-PAGE'!V26)</f>
        <v>6</v>
      </c>
      <c r="W26" s="92">
        <f>IF('INTERACTION-PAGE'!W26="","",'INTERACTION-PAGE'!W26)</f>
        <v>7.5</v>
      </c>
      <c r="X26" s="92" t="str">
        <f>IF('INTERACTION-PAGE'!X26="","",'INTERACTION-PAGE'!X26)</f>
        <v/>
      </c>
      <c r="Y26" s="167">
        <f t="shared" si="6"/>
        <v>34.33333333</v>
      </c>
      <c r="Z26" s="167">
        <f t="shared" ref="Z26:AD26" si="20">IF(OR( $B26="", $B26="AB", $B26="UR", $C26="", $C26="AB", $C26="UR", $D26="AB", $D26="UR"),"",(IF(OR(E$10&gt;0,J$10&gt;0,O$10&gt;0,T$10&gt;0),(Z$10*(IF(AND(E$10&gt;0), IF(OR(E26="", E26="AB",E26="UR"),0,E26),0) +IF(AND(J$10&gt;0), IF(OR(J26="",J26="AB",J26=""),0,J26),0)+IF(AND(O$10&gt;0), IF(OR(O26="", O26="AB",O26="UR"),0,O26),0)+IF(AND(T$10&gt;0), IF(OR(T26="",T26="AB",T26="UR"),0,T26),0))/(E$10+J$10+O$10+T$10))," ")))</f>
        <v>41.66666667</v>
      </c>
      <c r="AA26" s="167">
        <f t="shared" si="20"/>
        <v>33.33333333</v>
      </c>
      <c r="AB26" s="167">
        <f t="shared" si="20"/>
        <v>32.5</v>
      </c>
      <c r="AC26" s="167">
        <f t="shared" si="20"/>
        <v>30</v>
      </c>
      <c r="AD26" s="167" t="str">
        <f t="shared" si="20"/>
        <v> </v>
      </c>
      <c r="AE26" s="168">
        <f t="shared" si="5"/>
        <v>34.375</v>
      </c>
      <c r="AF26" s="29"/>
    </row>
    <row r="27" ht="15.0" customHeight="1">
      <c r="A27" s="65">
        <v>17.0</v>
      </c>
      <c r="B27" s="92" t="str">
        <f>IF('INTERACTION-PAGE'!B27="","",'INTERACTION-PAGE'!B27)</f>
        <v>MEB21026</v>
      </c>
      <c r="C27" s="92" t="str">
        <f>IF('INTERACTION-PAGE'!C27="","",'INTERACTION-PAGE'!C27)</f>
        <v>ANURAG  HAZARIKA</v>
      </c>
      <c r="D27" s="92" t="str">
        <f>IF('INTERACTION-PAGE'!D27="","",'INTERACTION-PAGE'!D27)</f>
        <v/>
      </c>
      <c r="E27" s="92">
        <f>IF('INTERACTION-PAGE'!E27="","",'INTERACTION-PAGE'!E27)</f>
        <v>5</v>
      </c>
      <c r="F27" s="92">
        <f>IF('INTERACTION-PAGE'!F27="","",'INTERACTION-PAGE'!F27)</f>
        <v>7.5</v>
      </c>
      <c r="G27" s="92" t="str">
        <f>IF('INTERACTION-PAGE'!G27="","",'INTERACTION-PAGE'!G27)</f>
        <v/>
      </c>
      <c r="H27" s="92" t="str">
        <f>IF('INTERACTION-PAGE'!H27="","",'INTERACTION-PAGE'!H27)</f>
        <v/>
      </c>
      <c r="I27" s="92" t="str">
        <f>IF('INTERACTION-PAGE'!I27="","",'INTERACTION-PAGE'!I27)</f>
        <v/>
      </c>
      <c r="J27" s="92">
        <f>IF('INTERACTION-PAGE'!J27="","",'INTERACTION-PAGE'!J27)</f>
        <v>14</v>
      </c>
      <c r="K27" s="92">
        <f>IF('INTERACTION-PAGE'!K27="","",'INTERACTION-PAGE'!K27)</f>
        <v>9</v>
      </c>
      <c r="L27" s="92" t="str">
        <f>IF('INTERACTION-PAGE'!L27="","",'INTERACTION-PAGE'!L27)</f>
        <v/>
      </c>
      <c r="M27" s="92" t="str">
        <f>IF('INTERACTION-PAGE'!M27="","",'INTERACTION-PAGE'!M27)</f>
        <v/>
      </c>
      <c r="N27" s="92" t="str">
        <f>IF('INTERACTION-PAGE'!N27="","",'INTERACTION-PAGE'!N27)</f>
        <v/>
      </c>
      <c r="O27" s="92">
        <f>IF('INTERACTION-PAGE'!O27="","",'INTERACTION-PAGE'!O27)</f>
        <v>2</v>
      </c>
      <c r="P27" s="92">
        <f>IF('INTERACTION-PAGE'!P27="","",'INTERACTION-PAGE'!P27)</f>
        <v>1</v>
      </c>
      <c r="Q27" s="92">
        <f>IF('INTERACTION-PAGE'!Q27="","",'INTERACTION-PAGE'!Q27)</f>
        <v>7</v>
      </c>
      <c r="R27" s="92">
        <f>IF('INTERACTION-PAGE'!R27="","",'INTERACTION-PAGE'!R27)</f>
        <v>4</v>
      </c>
      <c r="S27" s="92" t="str">
        <f>IF('INTERACTION-PAGE'!S27="","",'INTERACTION-PAGE'!S27)</f>
        <v/>
      </c>
      <c r="T27" s="92">
        <f>IF('INTERACTION-PAGE'!T27="","",'INTERACTION-PAGE'!T27)</f>
        <v>1</v>
      </c>
      <c r="U27" s="92">
        <f>IF('INTERACTION-PAGE'!U27="","",'INTERACTION-PAGE'!U27)</f>
        <v>2</v>
      </c>
      <c r="V27" s="92">
        <f>IF('INTERACTION-PAGE'!V27="","",'INTERACTION-PAGE'!V27)</f>
        <v>4</v>
      </c>
      <c r="W27" s="92">
        <f>IF('INTERACTION-PAGE'!W27="","",'INTERACTION-PAGE'!W27)</f>
        <v>6</v>
      </c>
      <c r="X27" s="92" t="str">
        <f>IF('INTERACTION-PAGE'!X27="","",'INTERACTION-PAGE'!X27)</f>
        <v/>
      </c>
      <c r="Y27" s="167">
        <f t="shared" si="6"/>
        <v>41.66666667</v>
      </c>
      <c r="Z27" s="167">
        <f t="shared" ref="Z27:AD27" si="21">IF(OR( $B27="", $B27="AB", $B27="UR", $C27="", $C27="AB", $C27="UR", $D27="AB", $D27="UR"),"",(IF(OR(E$10&gt;0,J$10&gt;0,O$10&gt;0,T$10&gt;0),(Z$10*(IF(AND(E$10&gt;0), IF(OR(E27="", E27="AB",E27="UR"),0,E27),0) +IF(AND(J$10&gt;0), IF(OR(J27="",J27="AB",J27=""),0,J27),0)+IF(AND(O$10&gt;0), IF(OR(O27="", O27="AB",O27="UR"),0,O27),0)+IF(AND(T$10&gt;0), IF(OR(T27="",T27="AB",T27="UR"),0,T27),0))/(E$10+J$10+O$10+T$10))," ")))</f>
        <v>61.11111111</v>
      </c>
      <c r="AA27" s="167">
        <f t="shared" si="21"/>
        <v>50</v>
      </c>
      <c r="AB27" s="167">
        <f t="shared" si="21"/>
        <v>27.5</v>
      </c>
      <c r="AC27" s="167">
        <f t="shared" si="21"/>
        <v>28.57142857</v>
      </c>
      <c r="AD27" s="167" t="str">
        <f t="shared" si="21"/>
        <v> </v>
      </c>
      <c r="AE27" s="168">
        <f t="shared" si="5"/>
        <v>41.79563492</v>
      </c>
      <c r="AF27" s="29"/>
    </row>
    <row r="28" ht="15.0" customHeight="1">
      <c r="A28" s="79">
        <v>18.0</v>
      </c>
      <c r="B28" s="92" t="str">
        <f>IF('INTERACTION-PAGE'!B28="","",'INTERACTION-PAGE'!B28)</f>
        <v>MEB21027</v>
      </c>
      <c r="C28" s="92" t="str">
        <f>IF('INTERACTION-PAGE'!C28="","",'INTERACTION-PAGE'!C28)</f>
        <v>KONGKON JYOTI NATH</v>
      </c>
      <c r="D28" s="92" t="str">
        <f>IF('INTERACTION-PAGE'!D28="","",'INTERACTION-PAGE'!D28)</f>
        <v/>
      </c>
      <c r="E28" s="92">
        <f>IF('INTERACTION-PAGE'!E28="","",'INTERACTION-PAGE'!E28)</f>
        <v>4</v>
      </c>
      <c r="F28" s="92">
        <f>IF('INTERACTION-PAGE'!F28="","",'INTERACTION-PAGE'!F28)</f>
        <v>6</v>
      </c>
      <c r="G28" s="92" t="str">
        <f>IF('INTERACTION-PAGE'!G28="","",'INTERACTION-PAGE'!G28)</f>
        <v/>
      </c>
      <c r="H28" s="92" t="str">
        <f>IF('INTERACTION-PAGE'!H28="","",'INTERACTION-PAGE'!H28)</f>
        <v/>
      </c>
      <c r="I28" s="92" t="str">
        <f>IF('INTERACTION-PAGE'!I28="","",'INTERACTION-PAGE'!I28)</f>
        <v/>
      </c>
      <c r="J28" s="92">
        <f>IF('INTERACTION-PAGE'!J28="","",'INTERACTION-PAGE'!J28)</f>
        <v>10</v>
      </c>
      <c r="K28" s="92">
        <f>IF('INTERACTION-PAGE'!K28="","",'INTERACTION-PAGE'!K28)</f>
        <v>7</v>
      </c>
      <c r="L28" s="92" t="str">
        <f>IF('INTERACTION-PAGE'!L28="","",'INTERACTION-PAGE'!L28)</f>
        <v/>
      </c>
      <c r="M28" s="92" t="str">
        <f>IF('INTERACTION-PAGE'!M28="","",'INTERACTION-PAGE'!M28)</f>
        <v/>
      </c>
      <c r="N28" s="92" t="str">
        <f>IF('INTERACTION-PAGE'!N28="","",'INTERACTION-PAGE'!N28)</f>
        <v/>
      </c>
      <c r="O28" s="92">
        <f>IF('INTERACTION-PAGE'!O28="","",'INTERACTION-PAGE'!O28)</f>
        <v>2</v>
      </c>
      <c r="P28" s="92">
        <f>IF('INTERACTION-PAGE'!P28="","",'INTERACTION-PAGE'!P28)</f>
        <v>2</v>
      </c>
      <c r="Q28" s="92">
        <f>IF('INTERACTION-PAGE'!Q28="","",'INTERACTION-PAGE'!Q28)</f>
        <v>8</v>
      </c>
      <c r="R28" s="92">
        <f>IF('INTERACTION-PAGE'!R28="","",'INTERACTION-PAGE'!R28)</f>
        <v>4</v>
      </c>
      <c r="S28" s="92" t="str">
        <f>IF('INTERACTION-PAGE'!S28="","",'INTERACTION-PAGE'!S28)</f>
        <v/>
      </c>
      <c r="T28" s="92">
        <f>IF('INTERACTION-PAGE'!T28="","",'INTERACTION-PAGE'!T28)</f>
        <v>1</v>
      </c>
      <c r="U28" s="92">
        <f>IF('INTERACTION-PAGE'!U28="","",'INTERACTION-PAGE'!U28)</f>
        <v>2</v>
      </c>
      <c r="V28" s="92">
        <f>IF('INTERACTION-PAGE'!V28="","",'INTERACTION-PAGE'!V28)</f>
        <v>3</v>
      </c>
      <c r="W28" s="92">
        <f>IF('INTERACTION-PAGE'!W28="","",'INTERACTION-PAGE'!W28)</f>
        <v>3</v>
      </c>
      <c r="X28" s="92" t="str">
        <f>IF('INTERACTION-PAGE'!X28="","",'INTERACTION-PAGE'!X28)</f>
        <v/>
      </c>
      <c r="Y28" s="167">
        <f t="shared" si="6"/>
        <v>34.66666667</v>
      </c>
      <c r="Z28" s="167">
        <f t="shared" ref="Z28:AD28" si="22">IF(OR( $B28="", $B28="AB", $B28="UR", $C28="", $C28="AB", $C28="UR", $D28="AB", $D28="UR"),"",(IF(OR(E$10&gt;0,J$10&gt;0,O$10&gt;0,T$10&gt;0),(Z$10*(IF(AND(E$10&gt;0), IF(OR(E28="", E28="AB",E28="UR"),0,E28),0) +IF(AND(J$10&gt;0), IF(OR(J28="",J28="AB",J28=""),0,J28),0)+IF(AND(O$10&gt;0), IF(OR(O28="", O28="AB",O28="UR"),0,O28),0)+IF(AND(T$10&gt;0), IF(OR(T28="",T28="AB",T28="UR"),0,T28),0))/(E$10+J$10+O$10+T$10))," ")))</f>
        <v>47.22222222</v>
      </c>
      <c r="AA28" s="167">
        <f t="shared" si="22"/>
        <v>43.58974359</v>
      </c>
      <c r="AB28" s="167">
        <f t="shared" si="22"/>
        <v>27.5</v>
      </c>
      <c r="AC28" s="167">
        <f t="shared" si="22"/>
        <v>20</v>
      </c>
      <c r="AD28" s="167" t="str">
        <f t="shared" si="22"/>
        <v> </v>
      </c>
      <c r="AE28" s="168">
        <f t="shared" si="5"/>
        <v>34.57799145</v>
      </c>
      <c r="AF28" s="29"/>
    </row>
    <row r="29" ht="15.0" customHeight="1">
      <c r="A29" s="65">
        <v>19.0</v>
      </c>
      <c r="B29" s="92" t="str">
        <f>IF('INTERACTION-PAGE'!B29="","",'INTERACTION-PAGE'!B29)</f>
        <v>MEB21028</v>
      </c>
      <c r="C29" s="92" t="str">
        <f>IF('INTERACTION-PAGE'!C29="","",'INTERACTION-PAGE'!C29)</f>
        <v>NISHA  DEVI</v>
      </c>
      <c r="D29" s="92" t="str">
        <f>IF('INTERACTION-PAGE'!D29="","",'INTERACTION-PAGE'!D29)</f>
        <v/>
      </c>
      <c r="E29" s="92">
        <f>IF('INTERACTION-PAGE'!E29="","",'INTERACTION-PAGE'!E29)</f>
        <v>6</v>
      </c>
      <c r="F29" s="92">
        <f>IF('INTERACTION-PAGE'!F29="","",'INTERACTION-PAGE'!F29)</f>
        <v>9</v>
      </c>
      <c r="G29" s="92" t="str">
        <f>IF('INTERACTION-PAGE'!G29="","",'INTERACTION-PAGE'!G29)</f>
        <v/>
      </c>
      <c r="H29" s="92" t="str">
        <f>IF('INTERACTION-PAGE'!H29="","",'INTERACTION-PAGE'!H29)</f>
        <v/>
      </c>
      <c r="I29" s="92" t="str">
        <f>IF('INTERACTION-PAGE'!I29="","",'INTERACTION-PAGE'!I29)</f>
        <v/>
      </c>
      <c r="J29" s="92">
        <f>IF('INTERACTION-PAGE'!J29="","",'INTERACTION-PAGE'!J29)</f>
        <v>14</v>
      </c>
      <c r="K29" s="92">
        <f>IF('INTERACTION-PAGE'!K29="","",'INTERACTION-PAGE'!K29)</f>
        <v>9</v>
      </c>
      <c r="L29" s="92" t="str">
        <f>IF('INTERACTION-PAGE'!L29="","",'INTERACTION-PAGE'!L29)</f>
        <v/>
      </c>
      <c r="M29" s="92" t="str">
        <f>IF('INTERACTION-PAGE'!M29="","",'INTERACTION-PAGE'!M29)</f>
        <v/>
      </c>
      <c r="N29" s="92" t="str">
        <f>IF('INTERACTION-PAGE'!N29="","",'INTERACTION-PAGE'!N29)</f>
        <v/>
      </c>
      <c r="O29" s="92">
        <f>IF('INTERACTION-PAGE'!O29="","",'INTERACTION-PAGE'!O29)</f>
        <v>2</v>
      </c>
      <c r="P29" s="92">
        <f>IF('INTERACTION-PAGE'!P29="","",'INTERACTION-PAGE'!P29)</f>
        <v>1</v>
      </c>
      <c r="Q29" s="92">
        <f>IF('INTERACTION-PAGE'!Q29="","",'INTERACTION-PAGE'!Q29)</f>
        <v>7</v>
      </c>
      <c r="R29" s="92">
        <f>IF('INTERACTION-PAGE'!R29="","",'INTERACTION-PAGE'!R29)</f>
        <v>4</v>
      </c>
      <c r="S29" s="92" t="str">
        <f>IF('INTERACTION-PAGE'!S29="","",'INTERACTION-PAGE'!S29)</f>
        <v/>
      </c>
      <c r="T29" s="92">
        <f>IF('INTERACTION-PAGE'!T29="","",'INTERACTION-PAGE'!T29)</f>
        <v>1</v>
      </c>
      <c r="U29" s="92">
        <f>IF('INTERACTION-PAGE'!U29="","",'INTERACTION-PAGE'!U29)</f>
        <v>3</v>
      </c>
      <c r="V29" s="92">
        <f>IF('INTERACTION-PAGE'!V29="","",'INTERACTION-PAGE'!V29)</f>
        <v>5</v>
      </c>
      <c r="W29" s="92">
        <f>IF('INTERACTION-PAGE'!W29="","",'INTERACTION-PAGE'!W29)</f>
        <v>6</v>
      </c>
      <c r="X29" s="92" t="str">
        <f>IF('INTERACTION-PAGE'!X29="","",'INTERACTION-PAGE'!X29)</f>
        <v/>
      </c>
      <c r="Y29" s="167">
        <f t="shared" si="6"/>
        <v>44.66666667</v>
      </c>
      <c r="Z29" s="167">
        <f t="shared" ref="Z29:AD29" si="23">IF(OR( $B29="", $B29="AB", $B29="UR", $C29="", $C29="AB", $C29="UR", $D29="AB", $D29="UR"),"",(IF(OR(E$10&gt;0,J$10&gt;0,O$10&gt;0,T$10&gt;0),(Z$10*(IF(AND(E$10&gt;0), IF(OR(E29="", E29="AB",E29="UR"),0,E29),0) +IF(AND(J$10&gt;0), IF(OR(J29="",J29="AB",J29=""),0,J29),0)+IF(AND(O$10&gt;0), IF(OR(O29="", O29="AB",O29="UR"),0,O29),0)+IF(AND(T$10&gt;0), IF(OR(T29="",T29="AB",T29="UR"),0,T29),0))/(E$10+J$10+O$10+T$10))," ")))</f>
        <v>63.88888889</v>
      </c>
      <c r="AA29" s="167">
        <f t="shared" si="23"/>
        <v>56.41025641</v>
      </c>
      <c r="AB29" s="167">
        <f t="shared" si="23"/>
        <v>30</v>
      </c>
      <c r="AC29" s="167">
        <f t="shared" si="23"/>
        <v>28.57142857</v>
      </c>
      <c r="AD29" s="167" t="str">
        <f t="shared" si="23"/>
        <v> </v>
      </c>
      <c r="AE29" s="168">
        <f t="shared" si="5"/>
        <v>44.71764347</v>
      </c>
      <c r="AF29" s="29"/>
    </row>
    <row r="30" ht="15.0" customHeight="1">
      <c r="A30" s="79">
        <v>20.0</v>
      </c>
      <c r="B30" s="92" t="str">
        <f>IF('INTERACTION-PAGE'!B30="","",'INTERACTION-PAGE'!B30)</f>
        <v>MEB21030</v>
      </c>
      <c r="C30" s="92" t="str">
        <f>IF('INTERACTION-PAGE'!C30="","",'INTERACTION-PAGE'!C30)</f>
        <v>SULAKSHANA  BHATTACHARYYA</v>
      </c>
      <c r="D30" s="92" t="str">
        <f>IF('INTERACTION-PAGE'!D30="","",'INTERACTION-PAGE'!D30)</f>
        <v/>
      </c>
      <c r="E30" s="92">
        <f>IF('INTERACTION-PAGE'!E30="","",'INTERACTION-PAGE'!E30)</f>
        <v>5</v>
      </c>
      <c r="F30" s="92">
        <f>IF('INTERACTION-PAGE'!F30="","",'INTERACTION-PAGE'!F30)</f>
        <v>8</v>
      </c>
      <c r="G30" s="92" t="str">
        <f>IF('INTERACTION-PAGE'!G30="","",'INTERACTION-PAGE'!G30)</f>
        <v/>
      </c>
      <c r="H30" s="92" t="str">
        <f>IF('INTERACTION-PAGE'!H30="","",'INTERACTION-PAGE'!H30)</f>
        <v/>
      </c>
      <c r="I30" s="92" t="str">
        <f>IF('INTERACTION-PAGE'!I30="","",'INTERACTION-PAGE'!I30)</f>
        <v/>
      </c>
      <c r="J30" s="92">
        <f>IF('INTERACTION-PAGE'!J30="","",'INTERACTION-PAGE'!J30)</f>
        <v>14</v>
      </c>
      <c r="K30" s="92">
        <f>IF('INTERACTION-PAGE'!K30="","",'INTERACTION-PAGE'!K30)</f>
        <v>9</v>
      </c>
      <c r="L30" s="92" t="str">
        <f>IF('INTERACTION-PAGE'!L30="","",'INTERACTION-PAGE'!L30)</f>
        <v/>
      </c>
      <c r="M30" s="92" t="str">
        <f>IF('INTERACTION-PAGE'!M30="","",'INTERACTION-PAGE'!M30)</f>
        <v/>
      </c>
      <c r="N30" s="92" t="str">
        <f>IF('INTERACTION-PAGE'!N30="","",'INTERACTION-PAGE'!N30)</f>
        <v/>
      </c>
      <c r="O30" s="92">
        <f>IF('INTERACTION-PAGE'!O30="","",'INTERACTION-PAGE'!O30)</f>
        <v>3</v>
      </c>
      <c r="P30" s="92">
        <f>IF('INTERACTION-PAGE'!P30="","",'INTERACTION-PAGE'!P30)</f>
        <v>2</v>
      </c>
      <c r="Q30" s="92">
        <f>IF('INTERACTION-PAGE'!Q30="","",'INTERACTION-PAGE'!Q30)</f>
        <v>10</v>
      </c>
      <c r="R30" s="92">
        <f>IF('INTERACTION-PAGE'!R30="","",'INTERACTION-PAGE'!R30)</f>
        <v>5</v>
      </c>
      <c r="S30" s="92" t="str">
        <f>IF('INTERACTION-PAGE'!S30="","",'INTERACTION-PAGE'!S30)</f>
        <v/>
      </c>
      <c r="T30" s="92">
        <f>IF('INTERACTION-PAGE'!T30="","",'INTERACTION-PAGE'!T30)</f>
        <v>2</v>
      </c>
      <c r="U30" s="92">
        <f>IF('INTERACTION-PAGE'!U30="","",'INTERACTION-PAGE'!U30)</f>
        <v>4</v>
      </c>
      <c r="V30" s="92">
        <f>IF('INTERACTION-PAGE'!V30="","",'INTERACTION-PAGE'!V30)</f>
        <v>8</v>
      </c>
      <c r="W30" s="92">
        <f>IF('INTERACTION-PAGE'!W30="","",'INTERACTION-PAGE'!W30)</f>
        <v>9</v>
      </c>
      <c r="X30" s="92" t="str">
        <f>IF('INTERACTION-PAGE'!X30="","",'INTERACTION-PAGE'!X30)</f>
        <v/>
      </c>
      <c r="Y30" s="167">
        <f t="shared" si="6"/>
        <v>52.66666667</v>
      </c>
      <c r="Z30" s="167">
        <f t="shared" ref="Z30:AD30" si="24">IF(OR( $B30="", $B30="AB", $B30="UR", $C30="", $C30="AB", $C30="UR", $D30="AB", $D30="UR"),"",(IF(OR(E$10&gt;0,J$10&gt;0,O$10&gt;0,T$10&gt;0),(Z$10*(IF(AND(E$10&gt;0), IF(OR(E30="", E30="AB",E30="UR"),0,E30),0) +IF(AND(J$10&gt;0), IF(OR(J30="",J30="AB",J30=""),0,J30),0)+IF(AND(O$10&gt;0), IF(OR(O30="", O30="AB",O30="UR"),0,O30),0)+IF(AND(T$10&gt;0), IF(OR(T30="",T30="AB",T30="UR"),0,T30),0))/(E$10+J$10+O$10+T$10))," ")))</f>
        <v>66.66666667</v>
      </c>
      <c r="AA30" s="167">
        <f t="shared" si="24"/>
        <v>58.97435897</v>
      </c>
      <c r="AB30" s="167">
        <f t="shared" si="24"/>
        <v>45</v>
      </c>
      <c r="AC30" s="167">
        <f t="shared" si="24"/>
        <v>40</v>
      </c>
      <c r="AD30" s="167" t="str">
        <f t="shared" si="24"/>
        <v> </v>
      </c>
      <c r="AE30" s="168">
        <f t="shared" si="5"/>
        <v>52.66025641</v>
      </c>
      <c r="AF30" s="29"/>
    </row>
    <row r="31" ht="15.0" customHeight="1">
      <c r="A31" s="65">
        <v>21.0</v>
      </c>
      <c r="B31" s="92" t="str">
        <f>IF('INTERACTION-PAGE'!B31="","",'INTERACTION-PAGE'!B31)</f>
        <v>MEB21031</v>
      </c>
      <c r="C31" s="92" t="str">
        <f>IF('INTERACTION-PAGE'!C31="","",'INTERACTION-PAGE'!C31)</f>
        <v>PRAGYAN BORGOHAIN </v>
      </c>
      <c r="D31" s="92" t="str">
        <f>IF('INTERACTION-PAGE'!D31="","",'INTERACTION-PAGE'!D31)</f>
        <v/>
      </c>
      <c r="E31" s="92">
        <f>IF('INTERACTION-PAGE'!E31="","",'INTERACTION-PAGE'!E31)</f>
        <v>8</v>
      </c>
      <c r="F31" s="92">
        <f>IF('INTERACTION-PAGE'!F31="","",'INTERACTION-PAGE'!F31)</f>
        <v>12</v>
      </c>
      <c r="G31" s="92" t="str">
        <f>IF('INTERACTION-PAGE'!G31="","",'INTERACTION-PAGE'!G31)</f>
        <v/>
      </c>
      <c r="H31" s="92" t="str">
        <f>IF('INTERACTION-PAGE'!H31="","",'INTERACTION-PAGE'!H31)</f>
        <v/>
      </c>
      <c r="I31" s="92" t="str">
        <f>IF('INTERACTION-PAGE'!I31="","",'INTERACTION-PAGE'!I31)</f>
        <v/>
      </c>
      <c r="J31" s="92">
        <f>IF('INTERACTION-PAGE'!J31="","",'INTERACTION-PAGE'!J31)</f>
        <v>9</v>
      </c>
      <c r="K31" s="92">
        <f>IF('INTERACTION-PAGE'!K31="","",'INTERACTION-PAGE'!K31)</f>
        <v>6</v>
      </c>
      <c r="L31" s="92" t="str">
        <f>IF('INTERACTION-PAGE'!L31="","",'INTERACTION-PAGE'!L31)</f>
        <v/>
      </c>
      <c r="M31" s="92" t="str">
        <f>IF('INTERACTION-PAGE'!M31="","",'INTERACTION-PAGE'!M31)</f>
        <v/>
      </c>
      <c r="N31" s="92" t="str">
        <f>IF('INTERACTION-PAGE'!N31="","",'INTERACTION-PAGE'!N31)</f>
        <v/>
      </c>
      <c r="O31" s="92">
        <f>IF('INTERACTION-PAGE'!O31="","",'INTERACTION-PAGE'!O31)</f>
        <v>5</v>
      </c>
      <c r="P31" s="92">
        <f>IF('INTERACTION-PAGE'!P31="","",'INTERACTION-PAGE'!P31)</f>
        <v>3</v>
      </c>
      <c r="Q31" s="92">
        <f>IF('INTERACTION-PAGE'!Q31="","",'INTERACTION-PAGE'!Q31)</f>
        <v>16.5</v>
      </c>
      <c r="R31" s="92">
        <f>IF('INTERACTION-PAGE'!R31="","",'INTERACTION-PAGE'!R31)</f>
        <v>8</v>
      </c>
      <c r="S31" s="92" t="str">
        <f>IF('INTERACTION-PAGE'!S31="","",'INTERACTION-PAGE'!S31)</f>
        <v/>
      </c>
      <c r="T31" s="92">
        <f>IF('INTERACTION-PAGE'!T31="","",'INTERACTION-PAGE'!T31)</f>
        <v>4</v>
      </c>
      <c r="U31" s="92">
        <f>IF('INTERACTION-PAGE'!U31="","",'INTERACTION-PAGE'!U31)</f>
        <v>8</v>
      </c>
      <c r="V31" s="92">
        <f>IF('INTERACTION-PAGE'!V31="","",'INTERACTION-PAGE'!V31)</f>
        <v>15</v>
      </c>
      <c r="W31" s="92">
        <f>IF('INTERACTION-PAGE'!W31="","",'INTERACTION-PAGE'!W31)</f>
        <v>18</v>
      </c>
      <c r="X31" s="92" t="str">
        <f>IF('INTERACTION-PAGE'!X31="","",'INTERACTION-PAGE'!X31)</f>
        <v/>
      </c>
      <c r="Y31" s="167">
        <f t="shared" si="6"/>
        <v>75</v>
      </c>
      <c r="Z31" s="167">
        <f t="shared" ref="Z31:AD31" si="25">IF(OR( $B31="", $B31="AB", $B31="UR", $C31="", $C31="AB", $C31="UR", $D31="AB", $D31="UR"),"",(IF(OR(E$10&gt;0,J$10&gt;0,O$10&gt;0,T$10&gt;0),(Z$10*(IF(AND(E$10&gt;0), IF(OR(E31="", E31="AB",E31="UR"),0,E31),0) +IF(AND(J$10&gt;0), IF(OR(J31="",J31="AB",J31=""),0,J31),0)+IF(AND(O$10&gt;0), IF(OR(O31="", O31="AB",O31="UR"),0,O31),0)+IF(AND(T$10&gt;0), IF(OR(T31="",T31="AB",T31="UR"),0,T31),0))/(E$10+J$10+O$10+T$10))," ")))</f>
        <v>72.22222222</v>
      </c>
      <c r="AA31" s="167">
        <f t="shared" si="25"/>
        <v>74.35897436</v>
      </c>
      <c r="AB31" s="167">
        <f t="shared" si="25"/>
        <v>78.75</v>
      </c>
      <c r="AC31" s="167">
        <f t="shared" si="25"/>
        <v>74.28571429</v>
      </c>
      <c r="AD31" s="167" t="str">
        <f t="shared" si="25"/>
        <v> </v>
      </c>
      <c r="AE31" s="168">
        <f t="shared" si="5"/>
        <v>74.90422772</v>
      </c>
      <c r="AF31" s="29"/>
    </row>
    <row r="32" ht="15.0" customHeight="1">
      <c r="A32" s="79">
        <v>22.0</v>
      </c>
      <c r="B32" s="92" t="str">
        <f>IF('INTERACTION-PAGE'!B32="","",'INTERACTION-PAGE'!B32)</f>
        <v>MEB21034</v>
      </c>
      <c r="C32" s="92" t="str">
        <f>IF('INTERACTION-PAGE'!C32="","",'INTERACTION-PAGE'!C32)</f>
        <v>BIRHEM  BASUMATARY</v>
      </c>
      <c r="D32" s="92" t="str">
        <f>IF('INTERACTION-PAGE'!D32="","",'INTERACTION-PAGE'!D32)</f>
        <v/>
      </c>
      <c r="E32" s="92">
        <f>IF('INTERACTION-PAGE'!E32="","",'INTERACTION-PAGE'!E32)</f>
        <v>4</v>
      </c>
      <c r="F32" s="92">
        <f>IF('INTERACTION-PAGE'!F32="","",'INTERACTION-PAGE'!F32)</f>
        <v>5.5</v>
      </c>
      <c r="G32" s="92" t="str">
        <f>IF('INTERACTION-PAGE'!G32="","",'INTERACTION-PAGE'!G32)</f>
        <v/>
      </c>
      <c r="H32" s="92" t="str">
        <f>IF('INTERACTION-PAGE'!H32="","",'INTERACTION-PAGE'!H32)</f>
        <v/>
      </c>
      <c r="I32" s="92" t="str">
        <f>IF('INTERACTION-PAGE'!I32="","",'INTERACTION-PAGE'!I32)</f>
        <v/>
      </c>
      <c r="J32" s="92">
        <f>IF('INTERACTION-PAGE'!J32="","",'INTERACTION-PAGE'!J32)</f>
        <v>13</v>
      </c>
      <c r="K32" s="92">
        <f>IF('INTERACTION-PAGE'!K32="","",'INTERACTION-PAGE'!K32)</f>
        <v>8</v>
      </c>
      <c r="L32" s="92" t="str">
        <f>IF('INTERACTION-PAGE'!L32="","",'INTERACTION-PAGE'!L32)</f>
        <v/>
      </c>
      <c r="M32" s="92" t="str">
        <f>IF('INTERACTION-PAGE'!M32="","",'INTERACTION-PAGE'!M32)</f>
        <v/>
      </c>
      <c r="N32" s="92" t="str">
        <f>IF('INTERACTION-PAGE'!N32="","",'INTERACTION-PAGE'!N32)</f>
        <v/>
      </c>
      <c r="O32" s="92">
        <f>IF('INTERACTION-PAGE'!O32="","",'INTERACTION-PAGE'!O32)</f>
        <v>1</v>
      </c>
      <c r="P32" s="92">
        <f>IF('INTERACTION-PAGE'!P32="","",'INTERACTION-PAGE'!P32)</f>
        <v>1</v>
      </c>
      <c r="Q32" s="92">
        <f>IF('INTERACTION-PAGE'!Q32="","",'INTERACTION-PAGE'!Q32)</f>
        <v>3.5</v>
      </c>
      <c r="R32" s="92">
        <f>IF('INTERACTION-PAGE'!R32="","",'INTERACTION-PAGE'!R32)</f>
        <v>2</v>
      </c>
      <c r="S32" s="92" t="str">
        <f>IF('INTERACTION-PAGE'!S32="","",'INTERACTION-PAGE'!S32)</f>
        <v/>
      </c>
      <c r="T32" s="92">
        <f>IF('INTERACTION-PAGE'!T32="","",'INTERACTION-PAGE'!T32)</f>
        <v>1</v>
      </c>
      <c r="U32" s="92">
        <f>IF('INTERACTION-PAGE'!U32="","",'INTERACTION-PAGE'!U32)</f>
        <v>1</v>
      </c>
      <c r="V32" s="92">
        <f>IF('INTERACTION-PAGE'!V32="","",'INTERACTION-PAGE'!V32)</f>
        <v>2</v>
      </c>
      <c r="W32" s="92">
        <f>IF('INTERACTION-PAGE'!W32="","",'INTERACTION-PAGE'!W32)</f>
        <v>2</v>
      </c>
      <c r="X32" s="92" t="str">
        <f>IF('INTERACTION-PAGE'!X32="","",'INTERACTION-PAGE'!X32)</f>
        <v/>
      </c>
      <c r="Y32" s="167">
        <f t="shared" si="6"/>
        <v>29.33333333</v>
      </c>
      <c r="Z32" s="167">
        <f t="shared" ref="Z32:AD32" si="26">IF(OR( $B32="", $B32="AB", $B32="UR", $C32="", $C32="AB", $C32="UR", $D32="AB", $D32="UR"),"",(IF(OR(E$10&gt;0,J$10&gt;0,O$10&gt;0,T$10&gt;0),(Z$10*(IF(AND(E$10&gt;0), IF(OR(E32="", E32="AB",E32="UR"),0,E32),0) +IF(AND(J$10&gt;0), IF(OR(J32="",J32="AB",J32=""),0,J32),0)+IF(AND(O$10&gt;0), IF(OR(O32="", O32="AB",O32="UR"),0,O32),0)+IF(AND(T$10&gt;0), IF(OR(T32="",T32="AB",T32="UR"),0,T32),0))/(E$10+J$10+O$10+T$10))," ")))</f>
        <v>52.77777778</v>
      </c>
      <c r="AA32" s="167">
        <f t="shared" si="26"/>
        <v>39.74358974</v>
      </c>
      <c r="AB32" s="167">
        <f t="shared" si="26"/>
        <v>13.75</v>
      </c>
      <c r="AC32" s="167">
        <f t="shared" si="26"/>
        <v>11.42857143</v>
      </c>
      <c r="AD32" s="167" t="str">
        <f t="shared" si="26"/>
        <v> </v>
      </c>
      <c r="AE32" s="168">
        <f t="shared" si="5"/>
        <v>29.42498474</v>
      </c>
      <c r="AF32" s="29"/>
    </row>
    <row r="33" ht="15.0" customHeight="1">
      <c r="A33" s="65">
        <v>23.0</v>
      </c>
      <c r="B33" s="92" t="str">
        <f>IF('INTERACTION-PAGE'!B33="","",'INTERACTION-PAGE'!B33)</f>
        <v>MEB21036</v>
      </c>
      <c r="C33" s="92" t="str">
        <f>IF('INTERACTION-PAGE'!C33="","",'INTERACTION-PAGE'!C33)</f>
        <v>PRBAL  MEDHI</v>
      </c>
      <c r="D33" s="92" t="str">
        <f>IF('INTERACTION-PAGE'!D33="","",'INTERACTION-PAGE'!D33)</f>
        <v/>
      </c>
      <c r="E33" s="92">
        <f>IF('INTERACTION-PAGE'!E33="","",'INTERACTION-PAGE'!E33)</f>
        <v>7</v>
      </c>
      <c r="F33" s="92">
        <f>IF('INTERACTION-PAGE'!F33="","",'INTERACTION-PAGE'!F33)</f>
        <v>10</v>
      </c>
      <c r="G33" s="92" t="str">
        <f>IF('INTERACTION-PAGE'!G33="","",'INTERACTION-PAGE'!G33)</f>
        <v/>
      </c>
      <c r="H33" s="92" t="str">
        <f>IF('INTERACTION-PAGE'!H33="","",'INTERACTION-PAGE'!H33)</f>
        <v/>
      </c>
      <c r="I33" s="92" t="str">
        <f>IF('INTERACTION-PAGE'!I33="","",'INTERACTION-PAGE'!I33)</f>
        <v/>
      </c>
      <c r="J33" s="92">
        <f>IF('INTERACTION-PAGE'!J33="","",'INTERACTION-PAGE'!J33)</f>
        <v>13</v>
      </c>
      <c r="K33" s="92">
        <f>IF('INTERACTION-PAGE'!K33="","",'INTERACTION-PAGE'!K33)</f>
        <v>8</v>
      </c>
      <c r="L33" s="92" t="str">
        <f>IF('INTERACTION-PAGE'!L33="","",'INTERACTION-PAGE'!L33)</f>
        <v/>
      </c>
      <c r="M33" s="92" t="str">
        <f>IF('INTERACTION-PAGE'!M33="","",'INTERACTION-PAGE'!M33)</f>
        <v/>
      </c>
      <c r="N33" s="92" t="str">
        <f>IF('INTERACTION-PAGE'!N33="","",'INTERACTION-PAGE'!N33)</f>
        <v/>
      </c>
      <c r="O33" s="92">
        <f>IF('INTERACTION-PAGE'!O33="","",'INTERACTION-PAGE'!O33)</f>
        <v>2</v>
      </c>
      <c r="P33" s="92">
        <f>IF('INTERACTION-PAGE'!P33="","",'INTERACTION-PAGE'!P33)</f>
        <v>1</v>
      </c>
      <c r="Q33" s="92">
        <f>IF('INTERACTION-PAGE'!Q33="","",'INTERACTION-PAGE'!Q33)</f>
        <v>6.5</v>
      </c>
      <c r="R33" s="92">
        <f>IF('INTERACTION-PAGE'!R33="","",'INTERACTION-PAGE'!R33)</f>
        <v>3</v>
      </c>
      <c r="S33" s="92" t="str">
        <f>IF('INTERACTION-PAGE'!S33="","",'INTERACTION-PAGE'!S33)</f>
        <v/>
      </c>
      <c r="T33" s="92">
        <f>IF('INTERACTION-PAGE'!T33="","",'INTERACTION-PAGE'!T33)</f>
        <v>1</v>
      </c>
      <c r="U33" s="92">
        <f>IF('INTERACTION-PAGE'!U33="","",'INTERACTION-PAGE'!U33)</f>
        <v>1</v>
      </c>
      <c r="V33" s="92">
        <f>IF('INTERACTION-PAGE'!V33="","",'INTERACTION-PAGE'!V33)</f>
        <v>3</v>
      </c>
      <c r="W33" s="92">
        <f>IF('INTERACTION-PAGE'!W33="","",'INTERACTION-PAGE'!W33)</f>
        <v>2.5</v>
      </c>
      <c r="X33" s="92" t="str">
        <f>IF('INTERACTION-PAGE'!X33="","",'INTERACTION-PAGE'!X33)</f>
        <v/>
      </c>
      <c r="Y33" s="167">
        <f t="shared" si="6"/>
        <v>38.66666667</v>
      </c>
      <c r="Z33" s="167">
        <f t="shared" ref="Z33:AD33" si="27">IF(OR( $B33="", $B33="AB", $B33="UR", $C33="", $C33="AB", $C33="UR", $D33="AB", $D33="UR"),"",(IF(OR(E$10&gt;0,J$10&gt;0,O$10&gt;0,T$10&gt;0),(Z$10*(IF(AND(E$10&gt;0), IF(OR(E33="", E33="AB",E33="UR"),0,E33),0) +IF(AND(J$10&gt;0), IF(OR(J33="",J33="AB",J33=""),0,J33),0)+IF(AND(O$10&gt;0), IF(OR(O33="", O33="AB",O33="UR"),0,O33),0)+IF(AND(T$10&gt;0), IF(OR(T33="",T33="AB",T33="UR"),0,T33),0))/(E$10+J$10+O$10+T$10))," ")))</f>
        <v>63.88888889</v>
      </c>
      <c r="AA33" s="167">
        <f t="shared" si="27"/>
        <v>51.28205128</v>
      </c>
      <c r="AB33" s="167">
        <f t="shared" si="27"/>
        <v>23.75</v>
      </c>
      <c r="AC33" s="167">
        <f t="shared" si="27"/>
        <v>15.71428571</v>
      </c>
      <c r="AD33" s="167" t="str">
        <f t="shared" si="27"/>
        <v> </v>
      </c>
      <c r="AE33" s="168">
        <f t="shared" si="5"/>
        <v>38.65880647</v>
      </c>
      <c r="AF33" s="29"/>
    </row>
    <row r="34" ht="15.0" customHeight="1">
      <c r="A34" s="79">
        <v>24.0</v>
      </c>
      <c r="B34" s="92" t="str">
        <f>IF('INTERACTION-PAGE'!B34="","",'INTERACTION-PAGE'!B34)</f>
        <v>MEB21037</v>
      </c>
      <c r="C34" s="92" t="str">
        <f>IF('INTERACTION-PAGE'!C34="","",'INTERACTION-PAGE'!C34)</f>
        <v>SAGAR  DAS</v>
      </c>
      <c r="D34" s="92" t="str">
        <f>IF('INTERACTION-PAGE'!D34="","",'INTERACTION-PAGE'!D34)</f>
        <v/>
      </c>
      <c r="E34" s="92">
        <f>IF('INTERACTION-PAGE'!E34="","",'INTERACTION-PAGE'!E34)</f>
        <v>8</v>
      </c>
      <c r="F34" s="92">
        <f>IF('INTERACTION-PAGE'!F34="","",'INTERACTION-PAGE'!F34)</f>
        <v>11.5</v>
      </c>
      <c r="G34" s="92" t="str">
        <f>IF('INTERACTION-PAGE'!G34="","",'INTERACTION-PAGE'!G34)</f>
        <v/>
      </c>
      <c r="H34" s="92" t="str">
        <f>IF('INTERACTION-PAGE'!H34="","",'INTERACTION-PAGE'!H34)</f>
        <v/>
      </c>
      <c r="I34" s="92" t="str">
        <f>IF('INTERACTION-PAGE'!I34="","",'INTERACTION-PAGE'!I34)</f>
        <v/>
      </c>
      <c r="J34" s="92">
        <f>IF('INTERACTION-PAGE'!J34="","",'INTERACTION-PAGE'!J34)</f>
        <v>14</v>
      </c>
      <c r="K34" s="92">
        <f>IF('INTERACTION-PAGE'!K34="","",'INTERACTION-PAGE'!K34)</f>
        <v>9</v>
      </c>
      <c r="L34" s="92" t="str">
        <f>IF('INTERACTION-PAGE'!L34="","",'INTERACTION-PAGE'!L34)</f>
        <v/>
      </c>
      <c r="M34" s="92" t="str">
        <f>IF('INTERACTION-PAGE'!M34="","",'INTERACTION-PAGE'!M34)</f>
        <v/>
      </c>
      <c r="N34" s="92" t="str">
        <f>IF('INTERACTION-PAGE'!N34="","",'INTERACTION-PAGE'!N34)</f>
        <v/>
      </c>
      <c r="O34" s="92">
        <f>IF('INTERACTION-PAGE'!O34="","",'INTERACTION-PAGE'!O34)</f>
        <v>3</v>
      </c>
      <c r="P34" s="92">
        <f>IF('INTERACTION-PAGE'!P34="","",'INTERACTION-PAGE'!P34)</f>
        <v>2</v>
      </c>
      <c r="Q34" s="92">
        <f>IF('INTERACTION-PAGE'!Q34="","",'INTERACTION-PAGE'!Q34)</f>
        <v>9</v>
      </c>
      <c r="R34" s="92">
        <f>IF('INTERACTION-PAGE'!R34="","",'INTERACTION-PAGE'!R34)</f>
        <v>5</v>
      </c>
      <c r="S34" s="92" t="str">
        <f>IF('INTERACTION-PAGE'!S34="","",'INTERACTION-PAGE'!S34)</f>
        <v/>
      </c>
      <c r="T34" s="92">
        <f>IF('INTERACTION-PAGE'!T34="","",'INTERACTION-PAGE'!T34)</f>
        <v>2</v>
      </c>
      <c r="U34" s="92">
        <f>IF('INTERACTION-PAGE'!U34="","",'INTERACTION-PAGE'!U34)</f>
        <v>3</v>
      </c>
      <c r="V34" s="92">
        <f>IF('INTERACTION-PAGE'!V34="","",'INTERACTION-PAGE'!V34)</f>
        <v>7</v>
      </c>
      <c r="W34" s="92">
        <f>IF('INTERACTION-PAGE'!W34="","",'INTERACTION-PAGE'!W34)</f>
        <v>7.5</v>
      </c>
      <c r="X34" s="92" t="str">
        <f>IF('INTERACTION-PAGE'!X34="","",'INTERACTION-PAGE'!X34)</f>
        <v/>
      </c>
      <c r="Y34" s="167">
        <f t="shared" si="6"/>
        <v>54</v>
      </c>
      <c r="Z34" s="167">
        <f t="shared" ref="Z34:AD34" si="28">IF(OR( $B34="", $B34="AB", $B34="UR", $C34="", $C34="AB", $C34="UR", $D34="AB", $D34="UR"),"",(IF(OR(E$10&gt;0,J$10&gt;0,O$10&gt;0,T$10&gt;0),(Z$10*(IF(AND(E$10&gt;0), IF(OR(E34="", E34="AB",E34="UR"),0,E34),0) +IF(AND(J$10&gt;0), IF(OR(J34="",J34="AB",J34=""),0,J34),0)+IF(AND(O$10&gt;0), IF(OR(O34="", O34="AB",O34="UR"),0,O34),0)+IF(AND(T$10&gt;0), IF(OR(T34="",T34="AB",T34="UR"),0,T34),0))/(E$10+J$10+O$10+T$10))," ")))</f>
        <v>75</v>
      </c>
      <c r="AA34" s="167">
        <f t="shared" si="28"/>
        <v>65.38461538</v>
      </c>
      <c r="AB34" s="167">
        <f t="shared" si="28"/>
        <v>40</v>
      </c>
      <c r="AC34" s="167">
        <f t="shared" si="28"/>
        <v>35.71428571</v>
      </c>
      <c r="AD34" s="167" t="str">
        <f t="shared" si="28"/>
        <v> </v>
      </c>
      <c r="AE34" s="168">
        <f t="shared" si="5"/>
        <v>54.02472527</v>
      </c>
      <c r="AF34" s="29"/>
    </row>
    <row r="35" ht="15.0" customHeight="1">
      <c r="A35" s="65">
        <v>25.0</v>
      </c>
      <c r="B35" s="92" t="str">
        <f>IF('INTERACTION-PAGE'!B35="","",'INTERACTION-PAGE'!B35)</f>
        <v>MEB21038</v>
      </c>
      <c r="C35" s="92" t="str">
        <f>IF('INTERACTION-PAGE'!C35="","",'INTERACTION-PAGE'!C35)</f>
        <v>JYOTIRMOY  KASHYAP</v>
      </c>
      <c r="D35" s="92" t="str">
        <f>IF('INTERACTION-PAGE'!D35="","",'INTERACTION-PAGE'!D35)</f>
        <v/>
      </c>
      <c r="E35" s="92">
        <f>IF('INTERACTION-PAGE'!E35="","",'INTERACTION-PAGE'!E35)</f>
        <v>4</v>
      </c>
      <c r="F35" s="92">
        <f>IF('INTERACTION-PAGE'!F35="","",'INTERACTION-PAGE'!F35)</f>
        <v>6</v>
      </c>
      <c r="G35" s="92" t="str">
        <f>IF('INTERACTION-PAGE'!G35="","",'INTERACTION-PAGE'!G35)</f>
        <v/>
      </c>
      <c r="H35" s="92" t="str">
        <f>IF('INTERACTION-PAGE'!H35="","",'INTERACTION-PAGE'!H35)</f>
        <v/>
      </c>
      <c r="I35" s="92" t="str">
        <f>IF('INTERACTION-PAGE'!I35="","",'INTERACTION-PAGE'!I35)</f>
        <v/>
      </c>
      <c r="J35" s="92">
        <f>IF('INTERACTION-PAGE'!J35="","",'INTERACTION-PAGE'!J35)</f>
        <v>9</v>
      </c>
      <c r="K35" s="92">
        <f>IF('INTERACTION-PAGE'!K35="","",'INTERACTION-PAGE'!K35)</f>
        <v>6</v>
      </c>
      <c r="L35" s="92" t="str">
        <f>IF('INTERACTION-PAGE'!L35="","",'INTERACTION-PAGE'!L35)</f>
        <v/>
      </c>
      <c r="M35" s="92" t="str">
        <f>IF('INTERACTION-PAGE'!M35="","",'INTERACTION-PAGE'!M35)</f>
        <v/>
      </c>
      <c r="N35" s="92" t="str">
        <f>IF('INTERACTION-PAGE'!N35="","",'INTERACTION-PAGE'!N35)</f>
        <v/>
      </c>
      <c r="O35" s="92">
        <f>IF('INTERACTION-PAGE'!O35="","",'INTERACTION-PAGE'!O35)</f>
        <v>3</v>
      </c>
      <c r="P35" s="92">
        <f>IF('INTERACTION-PAGE'!P35="","",'INTERACTION-PAGE'!P35)</f>
        <v>2</v>
      </c>
      <c r="Q35" s="92">
        <f>IF('INTERACTION-PAGE'!Q35="","",'INTERACTION-PAGE'!Q35)</f>
        <v>8</v>
      </c>
      <c r="R35" s="92">
        <f>IF('INTERACTION-PAGE'!R35="","",'INTERACTION-PAGE'!R35)</f>
        <v>5</v>
      </c>
      <c r="S35" s="92" t="str">
        <f>IF('INTERACTION-PAGE'!S35="","",'INTERACTION-PAGE'!S35)</f>
        <v/>
      </c>
      <c r="T35" s="92">
        <f>IF('INTERACTION-PAGE'!T35="","",'INTERACTION-PAGE'!T35)</f>
        <v>1</v>
      </c>
      <c r="U35" s="92">
        <f>IF('INTERACTION-PAGE'!U35="","",'INTERACTION-PAGE'!U35)</f>
        <v>3</v>
      </c>
      <c r="V35" s="92">
        <f>IF('INTERACTION-PAGE'!V35="","",'INTERACTION-PAGE'!V35)</f>
        <v>5</v>
      </c>
      <c r="W35" s="92">
        <f>IF('INTERACTION-PAGE'!W35="","",'INTERACTION-PAGE'!W35)</f>
        <v>6.5</v>
      </c>
      <c r="X35" s="92" t="str">
        <f>IF('INTERACTION-PAGE'!X35="","",'INTERACTION-PAGE'!X35)</f>
        <v/>
      </c>
      <c r="Y35" s="167">
        <f t="shared" si="6"/>
        <v>39</v>
      </c>
      <c r="Z35" s="167">
        <f t="shared" ref="Z35:AD35" si="29">IF(OR( $B35="", $B35="AB", $B35="UR", $C35="", $C35="AB", $C35="UR", $D35="AB", $D35="UR"),"",(IF(OR(E$10&gt;0,J$10&gt;0,O$10&gt;0,T$10&gt;0),(Z$10*(IF(AND(E$10&gt;0), IF(OR(E35="", E35="AB",E35="UR"),0,E35),0) +IF(AND(J$10&gt;0), IF(OR(J35="",J35="AB",J35=""),0,J35),0)+IF(AND(O$10&gt;0), IF(OR(O35="", O35="AB",O35="UR"),0,O35),0)+IF(AND(T$10&gt;0), IF(OR(T35="",T35="AB",T35="UR"),0,T35),0))/(E$10+J$10+O$10+T$10))," ")))</f>
        <v>47.22222222</v>
      </c>
      <c r="AA35" s="167">
        <f t="shared" si="29"/>
        <v>43.58974359</v>
      </c>
      <c r="AB35" s="167">
        <f t="shared" si="29"/>
        <v>32.5</v>
      </c>
      <c r="AC35" s="167">
        <f t="shared" si="29"/>
        <v>32.85714286</v>
      </c>
      <c r="AD35" s="167" t="str">
        <f t="shared" si="29"/>
        <v> </v>
      </c>
      <c r="AE35" s="168">
        <f t="shared" si="5"/>
        <v>39.04227717</v>
      </c>
      <c r="AF35" s="29"/>
    </row>
    <row r="36" ht="15.0" customHeight="1">
      <c r="A36" s="79">
        <v>26.0</v>
      </c>
      <c r="B36" s="92" t="str">
        <f>IF('INTERACTION-PAGE'!B36="","",'INTERACTION-PAGE'!B36)</f>
        <v>MEB21039</v>
      </c>
      <c r="C36" s="92" t="str">
        <f>IF('INTERACTION-PAGE'!C36="","",'INTERACTION-PAGE'!C36)</f>
        <v>RISHOBH  DAS</v>
      </c>
      <c r="D36" s="92" t="str">
        <f>IF('INTERACTION-PAGE'!D36="","",'INTERACTION-PAGE'!D36)</f>
        <v/>
      </c>
      <c r="E36" s="92">
        <f>IF('INTERACTION-PAGE'!E36="","",'INTERACTION-PAGE'!E36)</f>
        <v>3</v>
      </c>
      <c r="F36" s="92">
        <f>IF('INTERACTION-PAGE'!F36="","",'INTERACTION-PAGE'!F36)</f>
        <v>4</v>
      </c>
      <c r="G36" s="92" t="str">
        <f>IF('INTERACTION-PAGE'!G36="","",'INTERACTION-PAGE'!G36)</f>
        <v/>
      </c>
      <c r="H36" s="92" t="str">
        <f>IF('INTERACTION-PAGE'!H36="","",'INTERACTION-PAGE'!H36)</f>
        <v/>
      </c>
      <c r="I36" s="92" t="str">
        <f>IF('INTERACTION-PAGE'!I36="","",'INTERACTION-PAGE'!I36)</f>
        <v/>
      </c>
      <c r="J36" s="92">
        <f>IF('INTERACTION-PAGE'!J36="","",'INTERACTION-PAGE'!J36)</f>
        <v>11</v>
      </c>
      <c r="K36" s="92">
        <f>IF('INTERACTION-PAGE'!K36="","",'INTERACTION-PAGE'!K36)</f>
        <v>8</v>
      </c>
      <c r="L36" s="92" t="str">
        <f>IF('INTERACTION-PAGE'!L36="","",'INTERACTION-PAGE'!L36)</f>
        <v/>
      </c>
      <c r="M36" s="92" t="str">
        <f>IF('INTERACTION-PAGE'!M36="","",'INTERACTION-PAGE'!M36)</f>
        <v/>
      </c>
      <c r="N36" s="92" t="str">
        <f>IF('INTERACTION-PAGE'!N36="","",'INTERACTION-PAGE'!N36)</f>
        <v/>
      </c>
      <c r="O36" s="92">
        <f>IF('INTERACTION-PAGE'!O36="","",'INTERACTION-PAGE'!O36)</f>
        <v>2</v>
      </c>
      <c r="P36" s="92">
        <f>IF('INTERACTION-PAGE'!P36="","",'INTERACTION-PAGE'!P36)</f>
        <v>1</v>
      </c>
      <c r="Q36" s="92">
        <f>IF('INTERACTION-PAGE'!Q36="","",'INTERACTION-PAGE'!Q36)</f>
        <v>6.5</v>
      </c>
      <c r="R36" s="92">
        <f>IF('INTERACTION-PAGE'!R36="","",'INTERACTION-PAGE'!R36)</f>
        <v>3</v>
      </c>
      <c r="S36" s="92" t="str">
        <f>IF('INTERACTION-PAGE'!S36="","",'INTERACTION-PAGE'!S36)</f>
        <v/>
      </c>
      <c r="T36" s="92">
        <f>IF('INTERACTION-PAGE'!T36="","",'INTERACTION-PAGE'!T36)</f>
        <v>1</v>
      </c>
      <c r="U36" s="92">
        <f>IF('INTERACTION-PAGE'!U36="","",'INTERACTION-PAGE'!U36)</f>
        <v>1</v>
      </c>
      <c r="V36" s="92">
        <f>IF('INTERACTION-PAGE'!V36="","",'INTERACTION-PAGE'!V36)</f>
        <v>3</v>
      </c>
      <c r="W36" s="92">
        <f>IF('INTERACTION-PAGE'!W36="","",'INTERACTION-PAGE'!W36)</f>
        <v>3</v>
      </c>
      <c r="X36" s="92" t="str">
        <f>IF('INTERACTION-PAGE'!X36="","",'INTERACTION-PAGE'!X36)</f>
        <v/>
      </c>
      <c r="Y36" s="167">
        <f t="shared" si="6"/>
        <v>31</v>
      </c>
      <c r="Z36" s="167">
        <f t="shared" ref="Z36:AD36" si="30">IF(OR( $B36="", $B36="AB", $B36="UR", $C36="", $C36="AB", $C36="UR", $D36="AB", $D36="UR"),"",(IF(OR(E$10&gt;0,J$10&gt;0,O$10&gt;0,T$10&gt;0),(Z$10*(IF(AND(E$10&gt;0), IF(OR(E36="", E36="AB",E36="UR"),0,E36),0) +IF(AND(J$10&gt;0), IF(OR(J36="",J36="AB",J36=""),0,J36),0)+IF(AND(O$10&gt;0), IF(OR(O36="", O36="AB",O36="UR"),0,O36),0)+IF(AND(T$10&gt;0), IF(OR(T36="",T36="AB",T36="UR"),0,T36),0))/(E$10+J$10+O$10+T$10))," ")))</f>
        <v>47.22222222</v>
      </c>
      <c r="AA36" s="167">
        <f t="shared" si="30"/>
        <v>35.8974359</v>
      </c>
      <c r="AB36" s="167">
        <f t="shared" si="30"/>
        <v>23.75</v>
      </c>
      <c r="AC36" s="167">
        <f t="shared" si="30"/>
        <v>17.14285714</v>
      </c>
      <c r="AD36" s="167" t="str">
        <f t="shared" si="30"/>
        <v> </v>
      </c>
      <c r="AE36" s="168">
        <f t="shared" si="5"/>
        <v>31.00312882</v>
      </c>
      <c r="AF36" s="29"/>
    </row>
    <row r="37" ht="15.0" customHeight="1">
      <c r="A37" s="65">
        <v>27.0</v>
      </c>
      <c r="B37" s="92" t="str">
        <f>IF('INTERACTION-PAGE'!B37="","",'INTERACTION-PAGE'!B37)</f>
        <v>MEB21040</v>
      </c>
      <c r="C37" s="92" t="str">
        <f>IF('INTERACTION-PAGE'!C37="","",'INTERACTION-PAGE'!C37)</f>
        <v>AKANSHA  DEEP</v>
      </c>
      <c r="D37" s="92" t="str">
        <f>IF('INTERACTION-PAGE'!D37="","",'INTERACTION-PAGE'!D37)</f>
        <v/>
      </c>
      <c r="E37" s="92">
        <f>IF('INTERACTION-PAGE'!E37="","",'INTERACTION-PAGE'!E37)</f>
        <v>5</v>
      </c>
      <c r="F37" s="92">
        <f>IF('INTERACTION-PAGE'!F37="","",'INTERACTION-PAGE'!F37)</f>
        <v>6.5</v>
      </c>
      <c r="G37" s="92" t="str">
        <f>IF('INTERACTION-PAGE'!G37="","",'INTERACTION-PAGE'!G37)</f>
        <v/>
      </c>
      <c r="H37" s="92" t="str">
        <f>IF('INTERACTION-PAGE'!H37="","",'INTERACTION-PAGE'!H37)</f>
        <v/>
      </c>
      <c r="I37" s="92" t="str">
        <f>IF('INTERACTION-PAGE'!I37="","",'INTERACTION-PAGE'!I37)</f>
        <v/>
      </c>
      <c r="J37" s="92">
        <f>IF('INTERACTION-PAGE'!J37="","",'INTERACTION-PAGE'!J37)</f>
        <v>14</v>
      </c>
      <c r="K37" s="92">
        <f>IF('INTERACTION-PAGE'!K37="","",'INTERACTION-PAGE'!K37)</f>
        <v>9</v>
      </c>
      <c r="L37" s="92" t="str">
        <f>IF('INTERACTION-PAGE'!L37="","",'INTERACTION-PAGE'!L37)</f>
        <v/>
      </c>
      <c r="M37" s="92" t="str">
        <f>IF('INTERACTION-PAGE'!M37="","",'INTERACTION-PAGE'!M37)</f>
        <v/>
      </c>
      <c r="N37" s="92" t="str">
        <f>IF('INTERACTION-PAGE'!N37="","",'INTERACTION-PAGE'!N37)</f>
        <v/>
      </c>
      <c r="O37" s="92">
        <f>IF('INTERACTION-PAGE'!O37="","",'INTERACTION-PAGE'!O37)</f>
        <v>3</v>
      </c>
      <c r="P37" s="92">
        <f>IF('INTERACTION-PAGE'!P37="","",'INTERACTION-PAGE'!P37)</f>
        <v>2</v>
      </c>
      <c r="Q37" s="92">
        <f>IF('INTERACTION-PAGE'!Q37="","",'INTERACTION-PAGE'!Q37)</f>
        <v>8.5</v>
      </c>
      <c r="R37" s="92">
        <f>IF('INTERACTION-PAGE'!R37="","",'INTERACTION-PAGE'!R37)</f>
        <v>4</v>
      </c>
      <c r="S37" s="92" t="str">
        <f>IF('INTERACTION-PAGE'!S37="","",'INTERACTION-PAGE'!S37)</f>
        <v/>
      </c>
      <c r="T37" s="92">
        <f>IF('INTERACTION-PAGE'!T37="","",'INTERACTION-PAGE'!T37)</f>
        <v>2</v>
      </c>
      <c r="U37" s="92">
        <f>IF('INTERACTION-PAGE'!U37="","",'INTERACTION-PAGE'!U37)</f>
        <v>3</v>
      </c>
      <c r="V37" s="92">
        <f>IF('INTERACTION-PAGE'!V37="","",'INTERACTION-PAGE'!V37)</f>
        <v>6</v>
      </c>
      <c r="W37" s="92">
        <f>IF('INTERACTION-PAGE'!W37="","",'INTERACTION-PAGE'!W37)</f>
        <v>7.5</v>
      </c>
      <c r="X37" s="92" t="str">
        <f>IF('INTERACTION-PAGE'!X37="","",'INTERACTION-PAGE'!X37)</f>
        <v/>
      </c>
      <c r="Y37" s="167">
        <f t="shared" si="6"/>
        <v>47</v>
      </c>
      <c r="Z37" s="167">
        <f t="shared" ref="Z37:AD37" si="31">IF(OR( $B37="", $B37="AB", $B37="UR", $C37="", $C37="AB", $C37="UR", $D37="AB", $D37="UR"),"",(IF(OR(E$10&gt;0,J$10&gt;0,O$10&gt;0,T$10&gt;0),(Z$10*(IF(AND(E$10&gt;0), IF(OR(E37="", E37="AB",E37="UR"),0,E37),0) +IF(AND(J$10&gt;0), IF(OR(J37="",J37="AB",J37=""),0,J37),0)+IF(AND(O$10&gt;0), IF(OR(O37="", O37="AB",O37="UR"),0,O37),0)+IF(AND(T$10&gt;0), IF(OR(T37="",T37="AB",T37="UR"),0,T37),0))/(E$10+J$10+O$10+T$10))," ")))</f>
        <v>66.66666667</v>
      </c>
      <c r="AA37" s="167">
        <f t="shared" si="31"/>
        <v>52.56410256</v>
      </c>
      <c r="AB37" s="167">
        <f t="shared" si="31"/>
        <v>36.25</v>
      </c>
      <c r="AC37" s="167">
        <f t="shared" si="31"/>
        <v>32.85714286</v>
      </c>
      <c r="AD37" s="167" t="str">
        <f t="shared" si="31"/>
        <v> </v>
      </c>
      <c r="AE37" s="168">
        <f t="shared" si="5"/>
        <v>47.08447802</v>
      </c>
      <c r="AF37" s="29"/>
    </row>
    <row r="38" ht="15.0" customHeight="1">
      <c r="A38" s="79">
        <v>28.0</v>
      </c>
      <c r="B38" s="92" t="str">
        <f>IF('INTERACTION-PAGE'!B38="","",'INTERACTION-PAGE'!B38)</f>
        <v>MEB21042</v>
      </c>
      <c r="C38" s="92" t="str">
        <f>IF('INTERACTION-PAGE'!C38="","",'INTERACTION-PAGE'!C38)</f>
        <v>HIMANSHU  KONWAR</v>
      </c>
      <c r="D38" s="92" t="str">
        <f>IF('INTERACTION-PAGE'!D38="","",'INTERACTION-PAGE'!D38)</f>
        <v/>
      </c>
      <c r="E38" s="92">
        <f>IF('INTERACTION-PAGE'!E38="","",'INTERACTION-PAGE'!E38)</f>
        <v>6</v>
      </c>
      <c r="F38" s="92">
        <f>IF('INTERACTION-PAGE'!F38="","",'INTERACTION-PAGE'!F38)</f>
        <v>9.5</v>
      </c>
      <c r="G38" s="92" t="str">
        <f>IF('INTERACTION-PAGE'!G38="","",'INTERACTION-PAGE'!G38)</f>
        <v/>
      </c>
      <c r="H38" s="92" t="str">
        <f>IF('INTERACTION-PAGE'!H38="","",'INTERACTION-PAGE'!H38)</f>
        <v/>
      </c>
      <c r="I38" s="92" t="str">
        <f>IF('INTERACTION-PAGE'!I38="","",'INTERACTION-PAGE'!I38)</f>
        <v/>
      </c>
      <c r="J38" s="92">
        <f>IF('INTERACTION-PAGE'!J38="","",'INTERACTION-PAGE'!J38)</f>
        <v>15</v>
      </c>
      <c r="K38" s="92">
        <f>IF('INTERACTION-PAGE'!K38="","",'INTERACTION-PAGE'!K38)</f>
        <v>10</v>
      </c>
      <c r="L38" s="92" t="str">
        <f>IF('INTERACTION-PAGE'!L38="","",'INTERACTION-PAGE'!L38)</f>
        <v/>
      </c>
      <c r="M38" s="92" t="str">
        <f>IF('INTERACTION-PAGE'!M38="","",'INTERACTION-PAGE'!M38)</f>
        <v/>
      </c>
      <c r="N38" s="92" t="str">
        <f>IF('INTERACTION-PAGE'!N38="","",'INTERACTION-PAGE'!N38)</f>
        <v/>
      </c>
      <c r="O38" s="92">
        <f>IF('INTERACTION-PAGE'!O38="","",'INTERACTION-PAGE'!O38)</f>
        <v>3</v>
      </c>
      <c r="P38" s="92">
        <f>IF('INTERACTION-PAGE'!P38="","",'INTERACTION-PAGE'!P38)</f>
        <v>2</v>
      </c>
      <c r="Q38" s="92">
        <f>IF('INTERACTION-PAGE'!Q38="","",'INTERACTION-PAGE'!Q38)</f>
        <v>8.5</v>
      </c>
      <c r="R38" s="92">
        <f>IF('INTERACTION-PAGE'!R38="","",'INTERACTION-PAGE'!R38)</f>
        <v>4</v>
      </c>
      <c r="S38" s="92" t="str">
        <f>IF('INTERACTION-PAGE'!S38="","",'INTERACTION-PAGE'!S38)</f>
        <v/>
      </c>
      <c r="T38" s="92">
        <f>IF('INTERACTION-PAGE'!T38="","",'INTERACTION-PAGE'!T38)</f>
        <v>1</v>
      </c>
      <c r="U38" s="92">
        <f>IF('INTERACTION-PAGE'!U38="","",'INTERACTION-PAGE'!U38)</f>
        <v>2</v>
      </c>
      <c r="V38" s="92">
        <f>IF('INTERACTION-PAGE'!V38="","",'INTERACTION-PAGE'!V38)</f>
        <v>4</v>
      </c>
      <c r="W38" s="92">
        <f>IF('INTERACTION-PAGE'!W38="","",'INTERACTION-PAGE'!W38)</f>
        <v>6</v>
      </c>
      <c r="X38" s="92" t="str">
        <f>IF('INTERACTION-PAGE'!X38="","",'INTERACTION-PAGE'!X38)</f>
        <v/>
      </c>
      <c r="Y38" s="167">
        <f t="shared" si="6"/>
        <v>47.33333333</v>
      </c>
      <c r="Z38" s="167">
        <f t="shared" ref="Z38:AD38" si="32">IF(OR( $B38="", $B38="AB", $B38="UR", $C38="", $C38="AB", $C38="UR", $D38="AB", $D38="UR"),"",(IF(OR(E$10&gt;0,J$10&gt;0,O$10&gt;0,T$10&gt;0),(Z$10*(IF(AND(E$10&gt;0), IF(OR(E38="", E38="AB",E38="UR"),0,E38),0) +IF(AND(J$10&gt;0), IF(OR(J38="",J38="AB",J38=""),0,J38),0)+IF(AND(O$10&gt;0), IF(OR(O38="", O38="AB",O38="UR"),0,O38),0)+IF(AND(T$10&gt;0), IF(OR(T38="",T38="AB",T38="UR"),0,T38),0))/(E$10+J$10+O$10+T$10))," ")))</f>
        <v>69.44444444</v>
      </c>
      <c r="AA38" s="167">
        <f t="shared" si="32"/>
        <v>60.25641026</v>
      </c>
      <c r="AB38" s="167">
        <f t="shared" si="32"/>
        <v>31.25</v>
      </c>
      <c r="AC38" s="167">
        <f t="shared" si="32"/>
        <v>28.57142857</v>
      </c>
      <c r="AD38" s="167" t="str">
        <f t="shared" si="32"/>
        <v> </v>
      </c>
      <c r="AE38" s="168">
        <f t="shared" si="5"/>
        <v>47.38057082</v>
      </c>
      <c r="AF38" s="29"/>
    </row>
    <row r="39" ht="15.0" customHeight="1">
      <c r="A39" s="65">
        <v>29.0</v>
      </c>
      <c r="B39" s="92" t="str">
        <f>IF('INTERACTION-PAGE'!B39="","",'INTERACTION-PAGE'!B39)</f>
        <v>MEB21044</v>
      </c>
      <c r="C39" s="92" t="str">
        <f>IF('INTERACTION-PAGE'!C39="","",'INTERACTION-PAGE'!C39)</f>
        <v>CHANDRANI  NIRMALIA</v>
      </c>
      <c r="D39" s="92" t="str">
        <f>IF('INTERACTION-PAGE'!D39="","",'INTERACTION-PAGE'!D39)</f>
        <v/>
      </c>
      <c r="E39" s="92">
        <f>IF('INTERACTION-PAGE'!E39="","",'INTERACTION-PAGE'!E39)</f>
        <v>6</v>
      </c>
      <c r="F39" s="92">
        <f>IF('INTERACTION-PAGE'!F39="","",'INTERACTION-PAGE'!F39)</f>
        <v>8</v>
      </c>
      <c r="G39" s="92" t="str">
        <f>IF('INTERACTION-PAGE'!G39="","",'INTERACTION-PAGE'!G39)</f>
        <v/>
      </c>
      <c r="H39" s="92" t="str">
        <f>IF('INTERACTION-PAGE'!H39="","",'INTERACTION-PAGE'!H39)</f>
        <v/>
      </c>
      <c r="I39" s="92" t="str">
        <f>IF('INTERACTION-PAGE'!I39="","",'INTERACTION-PAGE'!I39)</f>
        <v/>
      </c>
      <c r="J39" s="92">
        <f>IF('INTERACTION-PAGE'!J39="","",'INTERACTION-PAGE'!J39)</f>
        <v>15</v>
      </c>
      <c r="K39" s="92">
        <f>IF('INTERACTION-PAGE'!K39="","",'INTERACTION-PAGE'!K39)</f>
        <v>10</v>
      </c>
      <c r="L39" s="92" t="str">
        <f>IF('INTERACTION-PAGE'!L39="","",'INTERACTION-PAGE'!L39)</f>
        <v/>
      </c>
      <c r="M39" s="92" t="str">
        <f>IF('INTERACTION-PAGE'!M39="","",'INTERACTION-PAGE'!M39)</f>
        <v/>
      </c>
      <c r="N39" s="92" t="str">
        <f>IF('INTERACTION-PAGE'!N39="","",'INTERACTION-PAGE'!N39)</f>
        <v/>
      </c>
      <c r="O39" s="92">
        <f>IF('INTERACTION-PAGE'!O39="","",'INTERACTION-PAGE'!O39)</f>
        <v>2</v>
      </c>
      <c r="P39" s="92">
        <f>IF('INTERACTION-PAGE'!P39="","",'INTERACTION-PAGE'!P39)</f>
        <v>2</v>
      </c>
      <c r="Q39" s="92">
        <f>IF('INTERACTION-PAGE'!Q39="","",'INTERACTION-PAGE'!Q39)</f>
        <v>8.5</v>
      </c>
      <c r="R39" s="92">
        <f>IF('INTERACTION-PAGE'!R39="","",'INTERACTION-PAGE'!R39)</f>
        <v>4</v>
      </c>
      <c r="S39" s="92" t="str">
        <f>IF('INTERACTION-PAGE'!S39="","",'INTERACTION-PAGE'!S39)</f>
        <v/>
      </c>
      <c r="T39" s="92">
        <f>IF('INTERACTION-PAGE'!T39="","",'INTERACTION-PAGE'!T39)</f>
        <v>2</v>
      </c>
      <c r="U39" s="92">
        <f>IF('INTERACTION-PAGE'!U39="","",'INTERACTION-PAGE'!U39)</f>
        <v>4</v>
      </c>
      <c r="V39" s="92">
        <f>IF('INTERACTION-PAGE'!V39="","",'INTERACTION-PAGE'!V39)</f>
        <v>8</v>
      </c>
      <c r="W39" s="92">
        <f>IF('INTERACTION-PAGE'!W39="","",'INTERACTION-PAGE'!W39)</f>
        <v>8.5</v>
      </c>
      <c r="X39" s="92" t="str">
        <f>IF('INTERACTION-PAGE'!X39="","",'INTERACTION-PAGE'!X39)</f>
        <v/>
      </c>
      <c r="Y39" s="167">
        <f t="shared" si="6"/>
        <v>52</v>
      </c>
      <c r="Z39" s="167">
        <f t="shared" ref="Z39:AD39" si="33">IF(OR( $B39="", $B39="AB", $B39="UR", $C39="", $C39="AB", $C39="UR", $D39="AB", $D39="UR"),"",(IF(OR(E$10&gt;0,J$10&gt;0,O$10&gt;0,T$10&gt;0),(Z$10*(IF(AND(E$10&gt;0), IF(OR(E39="", E39="AB",E39="UR"),0,E39),0) +IF(AND(J$10&gt;0), IF(OR(J39="",J39="AB",J39=""),0,J39),0)+IF(AND(O$10&gt;0), IF(OR(O39="", O39="AB",O39="UR"),0,O39),0)+IF(AND(T$10&gt;0), IF(OR(T39="",T39="AB",T39="UR"),0,T39),0))/(E$10+J$10+O$10+T$10))," ")))</f>
        <v>69.44444444</v>
      </c>
      <c r="AA39" s="167">
        <f t="shared" si="33"/>
        <v>61.53846154</v>
      </c>
      <c r="AB39" s="167">
        <f t="shared" si="33"/>
        <v>41.25</v>
      </c>
      <c r="AC39" s="167">
        <f t="shared" si="33"/>
        <v>35.71428571</v>
      </c>
      <c r="AD39" s="167" t="str">
        <f t="shared" si="33"/>
        <v> </v>
      </c>
      <c r="AE39" s="168">
        <f t="shared" si="5"/>
        <v>51.98679792</v>
      </c>
      <c r="AF39" s="29"/>
    </row>
    <row r="40" ht="15.0" customHeight="1">
      <c r="A40" s="79">
        <v>30.0</v>
      </c>
      <c r="B40" s="92" t="str">
        <f>IF('INTERACTION-PAGE'!B40="","",'INTERACTION-PAGE'!B40)</f>
        <v>MEB21046</v>
      </c>
      <c r="C40" s="92" t="str">
        <f>IF('INTERACTION-PAGE'!C40="","",'INTERACTION-PAGE'!C40)</f>
        <v>DEBAJIT  BARMAN</v>
      </c>
      <c r="D40" s="92" t="str">
        <f>IF('INTERACTION-PAGE'!D40="","",'INTERACTION-PAGE'!D40)</f>
        <v/>
      </c>
      <c r="E40" s="92">
        <f>IF('INTERACTION-PAGE'!E40="","",'INTERACTION-PAGE'!E40)</f>
        <v>4</v>
      </c>
      <c r="F40" s="92">
        <f>IF('INTERACTION-PAGE'!F40="","",'INTERACTION-PAGE'!F40)</f>
        <v>5</v>
      </c>
      <c r="G40" s="92" t="str">
        <f>IF('INTERACTION-PAGE'!G40="","",'INTERACTION-PAGE'!G40)</f>
        <v/>
      </c>
      <c r="H40" s="92" t="str">
        <f>IF('INTERACTION-PAGE'!H40="","",'INTERACTION-PAGE'!H40)</f>
        <v/>
      </c>
      <c r="I40" s="92" t="str">
        <f>IF('INTERACTION-PAGE'!I40="","",'INTERACTION-PAGE'!I40)</f>
        <v/>
      </c>
      <c r="J40" s="92">
        <f>IF('INTERACTION-PAGE'!J40="","",'INTERACTION-PAGE'!J40)</f>
        <v>9</v>
      </c>
      <c r="K40" s="92">
        <f>IF('INTERACTION-PAGE'!K40="","",'INTERACTION-PAGE'!K40)</f>
        <v>6</v>
      </c>
      <c r="L40" s="92" t="str">
        <f>IF('INTERACTION-PAGE'!L40="","",'INTERACTION-PAGE'!L40)</f>
        <v/>
      </c>
      <c r="M40" s="92" t="str">
        <f>IF('INTERACTION-PAGE'!M40="","",'INTERACTION-PAGE'!M40)</f>
        <v/>
      </c>
      <c r="N40" s="92" t="str">
        <f>IF('INTERACTION-PAGE'!N40="","",'INTERACTION-PAGE'!N40)</f>
        <v/>
      </c>
      <c r="O40" s="92">
        <f>IF('INTERACTION-PAGE'!O40="","",'INTERACTION-PAGE'!O40)</f>
        <v>2</v>
      </c>
      <c r="P40" s="92">
        <f>IF('INTERACTION-PAGE'!P40="","",'INTERACTION-PAGE'!P40)</f>
        <v>1</v>
      </c>
      <c r="Q40" s="92">
        <f>IF('INTERACTION-PAGE'!Q40="","",'INTERACTION-PAGE'!Q40)</f>
        <v>6.5</v>
      </c>
      <c r="R40" s="92">
        <f>IF('INTERACTION-PAGE'!R40="","",'INTERACTION-PAGE'!R40)</f>
        <v>3</v>
      </c>
      <c r="S40" s="92" t="str">
        <f>IF('INTERACTION-PAGE'!S40="","",'INTERACTION-PAGE'!S40)</f>
        <v/>
      </c>
      <c r="T40" s="92">
        <f>IF('INTERACTION-PAGE'!T40="","",'INTERACTION-PAGE'!T40)</f>
        <v>1</v>
      </c>
      <c r="U40" s="92">
        <f>IF('INTERACTION-PAGE'!U40="","",'INTERACTION-PAGE'!U40)</f>
        <v>2</v>
      </c>
      <c r="V40" s="92">
        <f>IF('INTERACTION-PAGE'!V40="","",'INTERACTION-PAGE'!V40)</f>
        <v>4</v>
      </c>
      <c r="W40" s="92">
        <f>IF('INTERACTION-PAGE'!W40="","",'INTERACTION-PAGE'!W40)</f>
        <v>6</v>
      </c>
      <c r="X40" s="92" t="str">
        <f>IF('INTERACTION-PAGE'!X40="","",'INTERACTION-PAGE'!X40)</f>
        <v/>
      </c>
      <c r="Y40" s="167">
        <f t="shared" si="6"/>
        <v>33</v>
      </c>
      <c r="Z40" s="167">
        <f t="shared" ref="Z40:AD40" si="34">IF(OR( $B40="", $B40="AB", $B40="UR", $C40="", $C40="AB", $C40="UR", $D40="AB", $D40="UR"),"",(IF(OR(E$10&gt;0,J$10&gt;0,O$10&gt;0,T$10&gt;0),(Z$10*(IF(AND(E$10&gt;0), IF(OR(E40="", E40="AB",E40="UR"),0,E40),0) +IF(AND(J$10&gt;0), IF(OR(J40="",J40="AB",J40=""),0,J40),0)+IF(AND(O$10&gt;0), IF(OR(O40="", O40="AB",O40="UR"),0,O40),0)+IF(AND(T$10&gt;0), IF(OR(T40="",T40="AB",T40="UR"),0,T40),0))/(E$10+J$10+O$10+T$10))," ")))</f>
        <v>44.44444444</v>
      </c>
      <c r="AA40" s="167">
        <f t="shared" si="34"/>
        <v>35.8974359</v>
      </c>
      <c r="AB40" s="167">
        <f t="shared" si="34"/>
        <v>26.25</v>
      </c>
      <c r="AC40" s="167">
        <f t="shared" si="34"/>
        <v>25.71428571</v>
      </c>
      <c r="AD40" s="167" t="str">
        <f t="shared" si="34"/>
        <v> </v>
      </c>
      <c r="AE40" s="168">
        <f t="shared" si="5"/>
        <v>33.07654151</v>
      </c>
      <c r="AF40" s="29"/>
    </row>
    <row r="41" ht="15.0" customHeight="1">
      <c r="A41" s="65">
        <v>31.0</v>
      </c>
      <c r="B41" s="92" t="str">
        <f>IF('INTERACTION-PAGE'!B41="","",'INTERACTION-PAGE'!B41)</f>
        <v>MEB21047</v>
      </c>
      <c r="C41" s="92" t="str">
        <f>IF('INTERACTION-PAGE'!C41="","",'INTERACTION-PAGE'!C41)</f>
        <v> HRISHIKESH  BARUAH</v>
      </c>
      <c r="D41" s="92" t="str">
        <f>IF('INTERACTION-PAGE'!D41="","",'INTERACTION-PAGE'!D41)</f>
        <v/>
      </c>
      <c r="E41" s="92">
        <f>IF('INTERACTION-PAGE'!E41="","",'INTERACTION-PAGE'!E41)</f>
        <v>5</v>
      </c>
      <c r="F41" s="92">
        <f>IF('INTERACTION-PAGE'!F41="","",'INTERACTION-PAGE'!F41)</f>
        <v>8.5</v>
      </c>
      <c r="G41" s="92" t="str">
        <f>IF('INTERACTION-PAGE'!G41="","",'INTERACTION-PAGE'!G41)</f>
        <v/>
      </c>
      <c r="H41" s="92" t="str">
        <f>IF('INTERACTION-PAGE'!H41="","",'INTERACTION-PAGE'!H41)</f>
        <v/>
      </c>
      <c r="I41" s="92" t="str">
        <f>IF('INTERACTION-PAGE'!I41="","",'INTERACTION-PAGE'!I41)</f>
        <v/>
      </c>
      <c r="J41" s="92">
        <f>IF('INTERACTION-PAGE'!J41="","",'INTERACTION-PAGE'!J41)</f>
        <v>11</v>
      </c>
      <c r="K41" s="92">
        <f>IF('INTERACTION-PAGE'!K41="","",'INTERACTION-PAGE'!K41)</f>
        <v>8</v>
      </c>
      <c r="L41" s="92" t="str">
        <f>IF('INTERACTION-PAGE'!L41="","",'INTERACTION-PAGE'!L41)</f>
        <v/>
      </c>
      <c r="M41" s="92" t="str">
        <f>IF('INTERACTION-PAGE'!M41="","",'INTERACTION-PAGE'!M41)</f>
        <v/>
      </c>
      <c r="N41" s="92" t="str">
        <f>IF('INTERACTION-PAGE'!N41="","",'INTERACTION-PAGE'!N41)</f>
        <v/>
      </c>
      <c r="O41" s="92">
        <f>IF('INTERACTION-PAGE'!O41="","",'INTERACTION-PAGE'!O41)</f>
        <v>3</v>
      </c>
      <c r="P41" s="92">
        <f>IF('INTERACTION-PAGE'!P41="","",'INTERACTION-PAGE'!P41)</f>
        <v>2</v>
      </c>
      <c r="Q41" s="92">
        <f>IF('INTERACTION-PAGE'!Q41="","",'INTERACTION-PAGE'!Q41)</f>
        <v>8.5</v>
      </c>
      <c r="R41" s="92">
        <f>IF('INTERACTION-PAGE'!R41="","",'INTERACTION-PAGE'!R41)</f>
        <v>4</v>
      </c>
      <c r="S41" s="92" t="str">
        <f>IF('INTERACTION-PAGE'!S41="","",'INTERACTION-PAGE'!S41)</f>
        <v/>
      </c>
      <c r="T41" s="92">
        <f>IF('INTERACTION-PAGE'!T41="","",'INTERACTION-PAGE'!T41)</f>
        <v>1</v>
      </c>
      <c r="U41" s="92">
        <f>IF('INTERACTION-PAGE'!U41="","",'INTERACTION-PAGE'!U41)</f>
        <v>3</v>
      </c>
      <c r="V41" s="92">
        <f>IF('INTERACTION-PAGE'!V41="","",'INTERACTION-PAGE'!V41)</f>
        <v>5</v>
      </c>
      <c r="W41" s="92">
        <f>IF('INTERACTION-PAGE'!W41="","",'INTERACTION-PAGE'!W41)</f>
        <v>6</v>
      </c>
      <c r="X41" s="92" t="str">
        <f>IF('INTERACTION-PAGE'!X41="","",'INTERACTION-PAGE'!X41)</f>
        <v/>
      </c>
      <c r="Y41" s="167">
        <f t="shared" si="6"/>
        <v>43.33333333</v>
      </c>
      <c r="Z41" s="167">
        <f t="shared" ref="Z41:AD41" si="35">IF(OR( $B41="", $B41="AB", $B41="UR", $C41="", $C41="AB", $C41="UR", $D41="AB", $D41="UR"),"",(IF(OR(E$10&gt;0,J$10&gt;0,O$10&gt;0,T$10&gt;0),(Z$10*(IF(AND(E$10&gt;0), IF(OR(E41="", E41="AB",E41="UR"),0,E41),0) +IF(AND(J$10&gt;0), IF(OR(J41="",J41="AB",J41=""),0,J41),0)+IF(AND(O$10&gt;0), IF(OR(O41="", O41="AB",O41="UR"),0,O41),0)+IF(AND(T$10&gt;0), IF(OR(T41="",T41="AB",T41="UR"),0,T41),0))/(E$10+J$10+O$10+T$10))," ")))</f>
        <v>55.55555556</v>
      </c>
      <c r="AA41" s="167">
        <f t="shared" si="35"/>
        <v>55.12820513</v>
      </c>
      <c r="AB41" s="167">
        <f t="shared" si="35"/>
        <v>33.75</v>
      </c>
      <c r="AC41" s="167">
        <f t="shared" si="35"/>
        <v>28.57142857</v>
      </c>
      <c r="AD41" s="167" t="str">
        <f t="shared" si="35"/>
        <v> </v>
      </c>
      <c r="AE41" s="168">
        <f t="shared" si="5"/>
        <v>43.25129731</v>
      </c>
      <c r="AF41" s="29"/>
    </row>
    <row r="42" ht="15.0" customHeight="1">
      <c r="A42" s="79">
        <v>32.0</v>
      </c>
      <c r="B42" s="92" t="str">
        <f>IF('INTERACTION-PAGE'!B42="","",'INTERACTION-PAGE'!B42)</f>
        <v>MEB21048</v>
      </c>
      <c r="C42" s="92" t="str">
        <f>IF('INTERACTION-PAGE'!C42="","",'INTERACTION-PAGE'!C42)</f>
        <v>ANUBHOV  GOGOI</v>
      </c>
      <c r="D42" s="92" t="str">
        <f>IF('INTERACTION-PAGE'!D42="","",'INTERACTION-PAGE'!D42)</f>
        <v/>
      </c>
      <c r="E42" s="92">
        <f>IF('INTERACTION-PAGE'!E42="","",'INTERACTION-PAGE'!E42)</f>
        <v>5</v>
      </c>
      <c r="F42" s="92">
        <f>IF('INTERACTION-PAGE'!F42="","",'INTERACTION-PAGE'!F42)</f>
        <v>7</v>
      </c>
      <c r="G42" s="92" t="str">
        <f>IF('INTERACTION-PAGE'!G42="","",'INTERACTION-PAGE'!G42)</f>
        <v/>
      </c>
      <c r="H42" s="92" t="str">
        <f>IF('INTERACTION-PAGE'!H42="","",'INTERACTION-PAGE'!H42)</f>
        <v/>
      </c>
      <c r="I42" s="92" t="str">
        <f>IF('INTERACTION-PAGE'!I42="","",'INTERACTION-PAGE'!I42)</f>
        <v/>
      </c>
      <c r="J42" s="92">
        <f>IF('INTERACTION-PAGE'!J42="","",'INTERACTION-PAGE'!J42)</f>
        <v>13</v>
      </c>
      <c r="K42" s="92">
        <f>IF('INTERACTION-PAGE'!K42="","",'INTERACTION-PAGE'!K42)</f>
        <v>8</v>
      </c>
      <c r="L42" s="92" t="str">
        <f>IF('INTERACTION-PAGE'!L42="","",'INTERACTION-PAGE'!L42)</f>
        <v/>
      </c>
      <c r="M42" s="92" t="str">
        <f>IF('INTERACTION-PAGE'!M42="","",'INTERACTION-PAGE'!M42)</f>
        <v/>
      </c>
      <c r="N42" s="92" t="str">
        <f>IF('INTERACTION-PAGE'!N42="","",'INTERACTION-PAGE'!N42)</f>
        <v/>
      </c>
      <c r="O42" s="92">
        <f>IF('INTERACTION-PAGE'!O42="","",'INTERACTION-PAGE'!O42)</f>
        <v>2</v>
      </c>
      <c r="P42" s="92">
        <f>IF('INTERACTION-PAGE'!P42="","",'INTERACTION-PAGE'!P42)</f>
        <v>1</v>
      </c>
      <c r="Q42" s="92">
        <f>IF('INTERACTION-PAGE'!Q42="","",'INTERACTION-PAGE'!Q42)</f>
        <v>7</v>
      </c>
      <c r="R42" s="92">
        <f>IF('INTERACTION-PAGE'!R42="","",'INTERACTION-PAGE'!R42)</f>
        <v>3</v>
      </c>
      <c r="S42" s="92" t="str">
        <f>IF('INTERACTION-PAGE'!S42="","",'INTERACTION-PAGE'!S42)</f>
        <v/>
      </c>
      <c r="T42" s="92">
        <f>IF('INTERACTION-PAGE'!T42="","",'INTERACTION-PAGE'!T42)</f>
        <v>1</v>
      </c>
      <c r="U42" s="92">
        <f>IF('INTERACTION-PAGE'!U42="","",'INTERACTION-PAGE'!U42)</f>
        <v>2</v>
      </c>
      <c r="V42" s="92">
        <f>IF('INTERACTION-PAGE'!V42="","",'INTERACTION-PAGE'!V42)</f>
        <v>4</v>
      </c>
      <c r="W42" s="92">
        <f>IF('INTERACTION-PAGE'!W42="","",'INTERACTION-PAGE'!W42)</f>
        <v>6</v>
      </c>
      <c r="X42" s="92" t="str">
        <f>IF('INTERACTION-PAGE'!X42="","",'INTERACTION-PAGE'!X42)</f>
        <v/>
      </c>
      <c r="Y42" s="167">
        <f t="shared" si="6"/>
        <v>39.33333333</v>
      </c>
      <c r="Z42" s="167">
        <f t="shared" ref="Z42:AD42" si="36">IF(OR( $B42="", $B42="AB", $B42="UR", $C42="", $C42="AB", $C42="UR", $D42="AB", $D42="UR"),"",(IF(OR(E$10&gt;0,J$10&gt;0,O$10&gt;0,T$10&gt;0),(Z$10*(IF(AND(E$10&gt;0), IF(OR(E42="", E42="AB",E42="UR"),0,E42),0) +IF(AND(J$10&gt;0), IF(OR(J42="",J42="AB",J42=""),0,J42),0)+IF(AND(O$10&gt;0), IF(OR(O42="", O42="AB",O42="UR"),0,O42),0)+IF(AND(T$10&gt;0), IF(OR(T42="",T42="AB",T42="UR"),0,T42),0))/(E$10+J$10+O$10+T$10))," ")))</f>
        <v>58.33333333</v>
      </c>
      <c r="AA42" s="167">
        <f t="shared" si="36"/>
        <v>46.15384615</v>
      </c>
      <c r="AB42" s="167">
        <f t="shared" si="36"/>
        <v>27.5</v>
      </c>
      <c r="AC42" s="167">
        <f t="shared" si="36"/>
        <v>25.71428571</v>
      </c>
      <c r="AD42" s="167" t="str">
        <f t="shared" si="36"/>
        <v> </v>
      </c>
      <c r="AE42" s="168">
        <f t="shared" si="5"/>
        <v>39.4253663</v>
      </c>
      <c r="AF42" s="29"/>
    </row>
    <row r="43" ht="15.0" customHeight="1">
      <c r="A43" s="65">
        <v>33.0</v>
      </c>
      <c r="B43" s="92" t="str">
        <f>IF('INTERACTION-PAGE'!B43="","",'INTERACTION-PAGE'!B43)</f>
        <v>MEB21049</v>
      </c>
      <c r="C43" s="92" t="str">
        <f>IF('INTERACTION-PAGE'!C43="","",'INTERACTION-PAGE'!C43)</f>
        <v>PREMJIT  LANGTHASA</v>
      </c>
      <c r="D43" s="92" t="str">
        <f>IF('INTERACTION-PAGE'!D43="","",'INTERACTION-PAGE'!D43)</f>
        <v/>
      </c>
      <c r="E43" s="92">
        <f>IF('INTERACTION-PAGE'!E43="","",'INTERACTION-PAGE'!E43)</f>
        <v>1</v>
      </c>
      <c r="F43" s="92">
        <f>IF('INTERACTION-PAGE'!F43="","",'INTERACTION-PAGE'!F43)</f>
        <v>1.5</v>
      </c>
      <c r="G43" s="92" t="str">
        <f>IF('INTERACTION-PAGE'!G43="","",'INTERACTION-PAGE'!G43)</f>
        <v/>
      </c>
      <c r="H43" s="92" t="str">
        <f>IF('INTERACTION-PAGE'!H43="","",'INTERACTION-PAGE'!H43)</f>
        <v/>
      </c>
      <c r="I43" s="92" t="str">
        <f>IF('INTERACTION-PAGE'!I43="","",'INTERACTION-PAGE'!I43)</f>
        <v/>
      </c>
      <c r="J43" s="92">
        <f>IF('INTERACTION-PAGE'!J43="","",'INTERACTION-PAGE'!J43)</f>
        <v>11</v>
      </c>
      <c r="K43" s="92">
        <f>IF('INTERACTION-PAGE'!K43="","",'INTERACTION-PAGE'!K43)</f>
        <v>8</v>
      </c>
      <c r="L43" s="92" t="str">
        <f>IF('INTERACTION-PAGE'!L43="","",'INTERACTION-PAGE'!L43)</f>
        <v/>
      </c>
      <c r="M43" s="92" t="str">
        <f>IF('INTERACTION-PAGE'!M43="","",'INTERACTION-PAGE'!M43)</f>
        <v/>
      </c>
      <c r="N43" s="92" t="str">
        <f>IF('INTERACTION-PAGE'!N43="","",'INTERACTION-PAGE'!N43)</f>
        <v/>
      </c>
      <c r="O43" s="92">
        <f>IF('INTERACTION-PAGE'!O43="","",'INTERACTION-PAGE'!O43)</f>
        <v>2</v>
      </c>
      <c r="P43" s="92">
        <f>IF('INTERACTION-PAGE'!P43="","",'INTERACTION-PAGE'!P43)</f>
        <v>2</v>
      </c>
      <c r="Q43" s="92">
        <f>IF('INTERACTION-PAGE'!Q43="","",'INTERACTION-PAGE'!Q43)</f>
        <v>7</v>
      </c>
      <c r="R43" s="92">
        <f>IF('INTERACTION-PAGE'!R43="","",'INTERACTION-PAGE'!R43)</f>
        <v>4</v>
      </c>
      <c r="S43" s="92" t="str">
        <f>IF('INTERACTION-PAGE'!S43="","",'INTERACTION-PAGE'!S43)</f>
        <v/>
      </c>
      <c r="T43" s="92">
        <f>IF('INTERACTION-PAGE'!T43="","",'INTERACTION-PAGE'!T43)</f>
        <v>1</v>
      </c>
      <c r="U43" s="92">
        <f>IF('INTERACTION-PAGE'!U43="","",'INTERACTION-PAGE'!U43)</f>
        <v>2</v>
      </c>
      <c r="V43" s="92">
        <f>IF('INTERACTION-PAGE'!V43="","",'INTERACTION-PAGE'!V43)</f>
        <v>3</v>
      </c>
      <c r="W43" s="92">
        <f>IF('INTERACTION-PAGE'!W43="","",'INTERACTION-PAGE'!W43)</f>
        <v>3</v>
      </c>
      <c r="X43" s="92" t="str">
        <f>IF('INTERACTION-PAGE'!X43="","",'INTERACTION-PAGE'!X43)</f>
        <v/>
      </c>
      <c r="Y43" s="167">
        <f t="shared" si="6"/>
        <v>30.33333333</v>
      </c>
      <c r="Z43" s="167">
        <f t="shared" ref="Z43:AD43" si="37">IF(OR( $B43="", $B43="AB", $B43="UR", $C43="", $C43="AB", $C43="UR", $D43="AB", $D43="UR"),"",(IF(OR(E$10&gt;0,J$10&gt;0,O$10&gt;0,T$10&gt;0),(Z$10*(IF(AND(E$10&gt;0), IF(OR(E43="", E43="AB",E43="UR"),0,E43),0) +IF(AND(J$10&gt;0), IF(OR(J43="",J43="AB",J43=""),0,J43),0)+IF(AND(O$10&gt;0), IF(OR(O43="", O43="AB",O43="UR"),0,O43),0)+IF(AND(T$10&gt;0), IF(OR(T43="",T43="AB",T43="UR"),0,T43),0))/(E$10+J$10+O$10+T$10))," ")))</f>
        <v>41.66666667</v>
      </c>
      <c r="AA43" s="167">
        <f t="shared" si="37"/>
        <v>34.61538462</v>
      </c>
      <c r="AB43" s="167">
        <f t="shared" si="37"/>
        <v>25</v>
      </c>
      <c r="AC43" s="167">
        <f t="shared" si="37"/>
        <v>20</v>
      </c>
      <c r="AD43" s="167" t="str">
        <f t="shared" si="37"/>
        <v> </v>
      </c>
      <c r="AE43" s="168">
        <f t="shared" si="5"/>
        <v>30.32051282</v>
      </c>
      <c r="AF43" s="29"/>
    </row>
    <row r="44" ht="15.0" customHeight="1">
      <c r="A44" s="79">
        <v>34.0</v>
      </c>
      <c r="B44" s="92" t="str">
        <f>IF('INTERACTION-PAGE'!B44="","",'INTERACTION-PAGE'!B44)</f>
        <v>MEB21050</v>
      </c>
      <c r="C44" s="92" t="str">
        <f>IF('INTERACTION-PAGE'!C44="","",'INTERACTION-PAGE'!C44)</f>
        <v>TRIDIB KUMAR CHOWDHURY</v>
      </c>
      <c r="D44" s="92" t="str">
        <f>IF('INTERACTION-PAGE'!D44="","",'INTERACTION-PAGE'!D44)</f>
        <v/>
      </c>
      <c r="E44" s="92">
        <f>IF('INTERACTION-PAGE'!E44="","",'INTERACTION-PAGE'!E44)</f>
        <v>8</v>
      </c>
      <c r="F44" s="92">
        <f>IF('INTERACTION-PAGE'!F44="","",'INTERACTION-PAGE'!F44)</f>
        <v>13</v>
      </c>
      <c r="G44" s="92" t="str">
        <f>IF('INTERACTION-PAGE'!G44="","",'INTERACTION-PAGE'!G44)</f>
        <v/>
      </c>
      <c r="H44" s="92" t="str">
        <f>IF('INTERACTION-PAGE'!H44="","",'INTERACTION-PAGE'!H44)</f>
        <v/>
      </c>
      <c r="I44" s="92" t="str">
        <f>IF('INTERACTION-PAGE'!I44="","",'INTERACTION-PAGE'!I44)</f>
        <v/>
      </c>
      <c r="J44" s="92">
        <f>IF('INTERACTION-PAGE'!J44="","",'INTERACTION-PAGE'!J44)</f>
        <v>11</v>
      </c>
      <c r="K44" s="92">
        <f>IF('INTERACTION-PAGE'!K44="","",'INTERACTION-PAGE'!K44)</f>
        <v>8</v>
      </c>
      <c r="L44" s="92" t="str">
        <f>IF('INTERACTION-PAGE'!L44="","",'INTERACTION-PAGE'!L44)</f>
        <v/>
      </c>
      <c r="M44" s="92" t="str">
        <f>IF('INTERACTION-PAGE'!M44="","",'INTERACTION-PAGE'!M44)</f>
        <v/>
      </c>
      <c r="N44" s="92" t="str">
        <f>IF('INTERACTION-PAGE'!N44="","",'INTERACTION-PAGE'!N44)</f>
        <v/>
      </c>
      <c r="O44" s="92">
        <f>IF('INTERACTION-PAGE'!O44="","",'INTERACTION-PAGE'!O44)</f>
        <v>5</v>
      </c>
      <c r="P44" s="92">
        <f>IF('INTERACTION-PAGE'!P44="","",'INTERACTION-PAGE'!P44)</f>
        <v>3</v>
      </c>
      <c r="Q44" s="92">
        <f>IF('INTERACTION-PAGE'!Q44="","",'INTERACTION-PAGE'!Q44)</f>
        <v>14</v>
      </c>
      <c r="R44" s="92">
        <f>IF('INTERACTION-PAGE'!R44="","",'INTERACTION-PAGE'!R44)</f>
        <v>8</v>
      </c>
      <c r="S44" s="92" t="str">
        <f>IF('INTERACTION-PAGE'!S44="","",'INTERACTION-PAGE'!S44)</f>
        <v/>
      </c>
      <c r="T44" s="92">
        <f>IF('INTERACTION-PAGE'!T44="","",'INTERACTION-PAGE'!T44)</f>
        <v>2</v>
      </c>
      <c r="U44" s="92">
        <f>IF('INTERACTION-PAGE'!U44="","",'INTERACTION-PAGE'!U44)</f>
        <v>3</v>
      </c>
      <c r="V44" s="92">
        <f>IF('INTERACTION-PAGE'!V44="","",'INTERACTION-PAGE'!V44)</f>
        <v>7</v>
      </c>
      <c r="W44" s="92">
        <f>IF('INTERACTION-PAGE'!W44="","",'INTERACTION-PAGE'!W44)</f>
        <v>7.5</v>
      </c>
      <c r="X44" s="92" t="str">
        <f>IF('INTERACTION-PAGE'!X44="","",'INTERACTION-PAGE'!X44)</f>
        <v/>
      </c>
      <c r="Y44" s="167">
        <f t="shared" si="6"/>
        <v>59.66666667</v>
      </c>
      <c r="Z44" s="167">
        <f t="shared" ref="Z44:AD44" si="38">IF(OR( $B44="", $B44="AB", $B44="UR", $C44="", $C44="AB", $C44="UR", $D44="AB", $D44="UR"),"",(IF(OR(E$10&gt;0,J$10&gt;0,O$10&gt;0,T$10&gt;0),(Z$10*(IF(AND(E$10&gt;0), IF(OR(E44="", E44="AB",E44="UR"),0,E44),0) +IF(AND(J$10&gt;0), IF(OR(J44="",J44="AB",J44=""),0,J44),0)+IF(AND(O$10&gt;0), IF(OR(O44="", O44="AB",O44="UR"),0,O44),0)+IF(AND(T$10&gt;0), IF(OR(T44="",T44="AB",T44="UR"),0,T44),0))/(E$10+J$10+O$10+T$10))," ")))</f>
        <v>72.22222222</v>
      </c>
      <c r="AA44" s="167">
        <f t="shared" si="38"/>
        <v>69.23076923</v>
      </c>
      <c r="AB44" s="167">
        <f t="shared" si="38"/>
        <v>52.5</v>
      </c>
      <c r="AC44" s="167">
        <f t="shared" si="38"/>
        <v>44.28571429</v>
      </c>
      <c r="AD44" s="167" t="str">
        <f t="shared" si="38"/>
        <v> </v>
      </c>
      <c r="AE44" s="168">
        <f t="shared" si="5"/>
        <v>59.55967643</v>
      </c>
      <c r="AF44" s="29"/>
    </row>
    <row r="45" ht="15.0" customHeight="1">
      <c r="A45" s="65">
        <v>35.0</v>
      </c>
      <c r="B45" s="92" t="str">
        <f>IF('INTERACTION-PAGE'!B45="","",'INTERACTION-PAGE'!B45)</f>
        <v>MEB21051</v>
      </c>
      <c r="C45" s="92" t="str">
        <f>IF('INTERACTION-PAGE'!C45="","",'INTERACTION-PAGE'!C45)</f>
        <v>SHUBH  SHARMA ECB21083</v>
      </c>
      <c r="D45" s="92" t="str">
        <f>IF('INTERACTION-PAGE'!D45="","",'INTERACTION-PAGE'!D45)</f>
        <v/>
      </c>
      <c r="E45" s="92">
        <f>IF('INTERACTION-PAGE'!E45="","",'INTERACTION-PAGE'!E45)</f>
        <v>7</v>
      </c>
      <c r="F45" s="92">
        <f>IF('INTERACTION-PAGE'!F45="","",'INTERACTION-PAGE'!F45)</f>
        <v>9.5</v>
      </c>
      <c r="G45" s="92" t="str">
        <f>IF('INTERACTION-PAGE'!G45="","",'INTERACTION-PAGE'!G45)</f>
        <v/>
      </c>
      <c r="H45" s="92" t="str">
        <f>IF('INTERACTION-PAGE'!H45="","",'INTERACTION-PAGE'!H45)</f>
        <v/>
      </c>
      <c r="I45" s="92" t="str">
        <f>IF('INTERACTION-PAGE'!I45="","",'INTERACTION-PAGE'!I45)</f>
        <v/>
      </c>
      <c r="J45" s="92">
        <f>IF('INTERACTION-PAGE'!J45="","",'INTERACTION-PAGE'!J45)</f>
        <v>14</v>
      </c>
      <c r="K45" s="92">
        <f>IF('INTERACTION-PAGE'!K45="","",'INTERACTION-PAGE'!K45)</f>
        <v>9</v>
      </c>
      <c r="L45" s="92" t="str">
        <f>IF('INTERACTION-PAGE'!L45="","",'INTERACTION-PAGE'!L45)</f>
        <v/>
      </c>
      <c r="M45" s="92" t="str">
        <f>IF('INTERACTION-PAGE'!M45="","",'INTERACTION-PAGE'!M45)</f>
        <v/>
      </c>
      <c r="N45" s="92" t="str">
        <f>IF('INTERACTION-PAGE'!N45="","",'INTERACTION-PAGE'!N45)</f>
        <v/>
      </c>
      <c r="O45" s="92">
        <f>IF('INTERACTION-PAGE'!O45="","",'INTERACTION-PAGE'!O45)</f>
        <v>3</v>
      </c>
      <c r="P45" s="92">
        <f>IF('INTERACTION-PAGE'!P45="","",'INTERACTION-PAGE'!P45)</f>
        <v>2</v>
      </c>
      <c r="Q45" s="92">
        <f>IF('INTERACTION-PAGE'!Q45="","",'INTERACTION-PAGE'!Q45)</f>
        <v>9.5</v>
      </c>
      <c r="R45" s="92">
        <f>IF('INTERACTION-PAGE'!R45="","",'INTERACTION-PAGE'!R45)</f>
        <v>5</v>
      </c>
      <c r="S45" s="92" t="str">
        <f>IF('INTERACTION-PAGE'!S45="","",'INTERACTION-PAGE'!S45)</f>
        <v/>
      </c>
      <c r="T45" s="92">
        <f>IF('INTERACTION-PAGE'!T45="","",'INTERACTION-PAGE'!T45)</f>
        <v>2</v>
      </c>
      <c r="U45" s="92">
        <f>IF('INTERACTION-PAGE'!U45="","",'INTERACTION-PAGE'!U45)</f>
        <v>3</v>
      </c>
      <c r="V45" s="92">
        <f>IF('INTERACTION-PAGE'!V45="","",'INTERACTION-PAGE'!V45)</f>
        <v>7</v>
      </c>
      <c r="W45" s="92">
        <f>IF('INTERACTION-PAGE'!W45="","",'INTERACTION-PAGE'!W45)</f>
        <v>8.5</v>
      </c>
      <c r="X45" s="92" t="str">
        <f>IF('INTERACTION-PAGE'!X45="","",'INTERACTION-PAGE'!X45)</f>
        <v/>
      </c>
      <c r="Y45" s="167">
        <f t="shared" si="6"/>
        <v>53</v>
      </c>
      <c r="Z45" s="167">
        <f t="shared" ref="Z45:AD45" si="39">IF(OR( $B45="", $B45="AB", $B45="UR", $C45="", $C45="AB", $C45="UR", $D45="AB", $D45="UR"),"",(IF(OR(E$10&gt;0,J$10&gt;0,O$10&gt;0,T$10&gt;0),(Z$10*(IF(AND(E$10&gt;0), IF(OR(E45="", E45="AB",E45="UR"),0,E45),0) +IF(AND(J$10&gt;0), IF(OR(J45="",J45="AB",J45=""),0,J45),0)+IF(AND(O$10&gt;0), IF(OR(O45="", O45="AB",O45="UR"),0,O45),0)+IF(AND(T$10&gt;0), IF(OR(T45="",T45="AB",T45="UR"),0,T45),0))/(E$10+J$10+O$10+T$10))," ")))</f>
        <v>72.22222222</v>
      </c>
      <c r="AA45" s="167">
        <f t="shared" si="39"/>
        <v>60.25641026</v>
      </c>
      <c r="AB45" s="167">
        <f t="shared" si="39"/>
        <v>41.25</v>
      </c>
      <c r="AC45" s="167">
        <f t="shared" si="39"/>
        <v>38.57142857</v>
      </c>
      <c r="AD45" s="167" t="str">
        <f t="shared" si="39"/>
        <v> </v>
      </c>
      <c r="AE45" s="168">
        <f t="shared" si="5"/>
        <v>53.07501526</v>
      </c>
      <c r="AF45" s="29"/>
    </row>
    <row r="46" ht="15.0" customHeight="1">
      <c r="A46" s="79">
        <v>36.0</v>
      </c>
      <c r="B46" s="92" t="str">
        <f>IF('INTERACTION-PAGE'!B46="","",'INTERACTION-PAGE'!B46)</f>
        <v>MEB21052</v>
      </c>
      <c r="C46" s="92" t="str">
        <f>IF('INTERACTION-PAGE'!C46="","",'INTERACTION-PAGE'!C46)</f>
        <v>MD AMAN UDDIN</v>
      </c>
      <c r="D46" s="92" t="str">
        <f>IF('INTERACTION-PAGE'!D46="","",'INTERACTION-PAGE'!D46)</f>
        <v/>
      </c>
      <c r="E46" s="92">
        <f>IF('INTERACTION-PAGE'!E46="","",'INTERACTION-PAGE'!E46)</f>
        <v>6</v>
      </c>
      <c r="F46" s="92">
        <f>IF('INTERACTION-PAGE'!F46="","",'INTERACTION-PAGE'!F46)</f>
        <v>8</v>
      </c>
      <c r="G46" s="92" t="str">
        <f>IF('INTERACTION-PAGE'!G46="","",'INTERACTION-PAGE'!G46)</f>
        <v/>
      </c>
      <c r="H46" s="92" t="str">
        <f>IF('INTERACTION-PAGE'!H46="","",'INTERACTION-PAGE'!H46)</f>
        <v/>
      </c>
      <c r="I46" s="92" t="str">
        <f>IF('INTERACTION-PAGE'!I46="","",'INTERACTION-PAGE'!I46)</f>
        <v/>
      </c>
      <c r="J46" s="92">
        <f>IF('INTERACTION-PAGE'!J46="","",'INTERACTION-PAGE'!J46)</f>
        <v>14</v>
      </c>
      <c r="K46" s="92">
        <f>IF('INTERACTION-PAGE'!K46="","",'INTERACTION-PAGE'!K46)</f>
        <v>9</v>
      </c>
      <c r="L46" s="92" t="str">
        <f>IF('INTERACTION-PAGE'!L46="","",'INTERACTION-PAGE'!L46)</f>
        <v/>
      </c>
      <c r="M46" s="92" t="str">
        <f>IF('INTERACTION-PAGE'!M46="","",'INTERACTION-PAGE'!M46)</f>
        <v/>
      </c>
      <c r="N46" s="92" t="str">
        <f>IF('INTERACTION-PAGE'!N46="","",'INTERACTION-PAGE'!N46)</f>
        <v/>
      </c>
      <c r="O46" s="92">
        <f>IF('INTERACTION-PAGE'!O46="","",'INTERACTION-PAGE'!O46)</f>
        <v>3</v>
      </c>
      <c r="P46" s="92">
        <f>IF('INTERACTION-PAGE'!P46="","",'INTERACTION-PAGE'!P46)</f>
        <v>2</v>
      </c>
      <c r="Q46" s="92">
        <f>IF('INTERACTION-PAGE'!Q46="","",'INTERACTION-PAGE'!Q46)</f>
        <v>9</v>
      </c>
      <c r="R46" s="92">
        <f>IF('INTERACTION-PAGE'!R46="","",'INTERACTION-PAGE'!R46)</f>
        <v>5</v>
      </c>
      <c r="S46" s="92" t="str">
        <f>IF('INTERACTION-PAGE'!S46="","",'INTERACTION-PAGE'!S46)</f>
        <v/>
      </c>
      <c r="T46" s="92">
        <f>IF('INTERACTION-PAGE'!T46="","",'INTERACTION-PAGE'!T46)</f>
        <v>2</v>
      </c>
      <c r="U46" s="92">
        <f>IF('INTERACTION-PAGE'!U46="","",'INTERACTION-PAGE'!U46)</f>
        <v>4</v>
      </c>
      <c r="V46" s="92">
        <f>IF('INTERACTION-PAGE'!V46="","",'INTERACTION-PAGE'!V46)</f>
        <v>7</v>
      </c>
      <c r="W46" s="92">
        <f>IF('INTERACTION-PAGE'!W46="","",'INTERACTION-PAGE'!W46)</f>
        <v>9</v>
      </c>
      <c r="X46" s="92" t="str">
        <f>IF('INTERACTION-PAGE'!X46="","",'INTERACTION-PAGE'!X46)</f>
        <v/>
      </c>
      <c r="Y46" s="167">
        <f t="shared" si="6"/>
        <v>52</v>
      </c>
      <c r="Z46" s="167">
        <f t="shared" ref="Z46:AD46" si="40">IF(OR( $B46="", $B46="AB", $B46="UR", $C46="", $C46="AB", $C46="UR", $D46="AB", $D46="UR"),"",(IF(OR(E$10&gt;0,J$10&gt;0,O$10&gt;0,T$10&gt;0),(Z$10*(IF(AND(E$10&gt;0), IF(OR(E46="", E46="AB",E46="UR"),0,E46),0) +IF(AND(J$10&gt;0), IF(OR(J46="",J46="AB",J46=""),0,J46),0)+IF(AND(O$10&gt;0), IF(OR(O46="", O46="AB",O46="UR"),0,O46),0)+IF(AND(T$10&gt;0), IF(OR(T46="",T46="AB",T46="UR"),0,T46),0))/(E$10+J$10+O$10+T$10))," ")))</f>
        <v>69.44444444</v>
      </c>
      <c r="AA46" s="167">
        <f t="shared" si="40"/>
        <v>58.97435897</v>
      </c>
      <c r="AB46" s="167">
        <f t="shared" si="40"/>
        <v>40</v>
      </c>
      <c r="AC46" s="167">
        <f t="shared" si="40"/>
        <v>40</v>
      </c>
      <c r="AD46" s="167" t="str">
        <f t="shared" si="40"/>
        <v> </v>
      </c>
      <c r="AE46" s="168">
        <f t="shared" si="5"/>
        <v>52.10470085</v>
      </c>
      <c r="AF46" s="29"/>
    </row>
    <row r="47" ht="15.0" customHeight="1">
      <c r="A47" s="65">
        <v>37.0</v>
      </c>
      <c r="B47" s="92" t="str">
        <f>IF('INTERACTION-PAGE'!B47="","",'INTERACTION-PAGE'!B47)</f>
        <v>MEB21053</v>
      </c>
      <c r="C47" s="92" t="str">
        <f>IF('INTERACTION-PAGE'!C47="","",'INTERACTION-PAGE'!C47)</f>
        <v>ADARSH  KUMAR</v>
      </c>
      <c r="D47" s="92" t="str">
        <f>IF('INTERACTION-PAGE'!D47="","",'INTERACTION-PAGE'!D47)</f>
        <v/>
      </c>
      <c r="E47" s="92">
        <f>IF('INTERACTION-PAGE'!E47="","",'INTERACTION-PAGE'!E47)</f>
        <v>9</v>
      </c>
      <c r="F47" s="92">
        <f>IF('INTERACTION-PAGE'!F47="","",'INTERACTION-PAGE'!F47)</f>
        <v>12.5</v>
      </c>
      <c r="G47" s="92" t="str">
        <f>IF('INTERACTION-PAGE'!G47="","",'INTERACTION-PAGE'!G47)</f>
        <v/>
      </c>
      <c r="H47" s="92" t="str">
        <f>IF('INTERACTION-PAGE'!H47="","",'INTERACTION-PAGE'!H47)</f>
        <v/>
      </c>
      <c r="I47" s="92" t="str">
        <f>IF('INTERACTION-PAGE'!I47="","",'INTERACTION-PAGE'!I47)</f>
        <v/>
      </c>
      <c r="J47" s="92">
        <f>IF('INTERACTION-PAGE'!J47="","",'INTERACTION-PAGE'!J47)</f>
        <v>13</v>
      </c>
      <c r="K47" s="92">
        <f>IF('INTERACTION-PAGE'!K47="","",'INTERACTION-PAGE'!K47)</f>
        <v>8</v>
      </c>
      <c r="L47" s="92" t="str">
        <f>IF('INTERACTION-PAGE'!L47="","",'INTERACTION-PAGE'!L47)</f>
        <v/>
      </c>
      <c r="M47" s="92" t="str">
        <f>IF('INTERACTION-PAGE'!M47="","",'INTERACTION-PAGE'!M47)</f>
        <v/>
      </c>
      <c r="N47" s="92" t="str">
        <f>IF('INTERACTION-PAGE'!N47="","",'INTERACTION-PAGE'!N47)</f>
        <v/>
      </c>
      <c r="O47" s="92">
        <f>IF('INTERACTION-PAGE'!O47="","",'INTERACTION-PAGE'!O47)</f>
        <v>3</v>
      </c>
      <c r="P47" s="92">
        <f>IF('INTERACTION-PAGE'!P47="","",'INTERACTION-PAGE'!P47)</f>
        <v>2</v>
      </c>
      <c r="Q47" s="92">
        <f>IF('INTERACTION-PAGE'!Q47="","",'INTERACTION-PAGE'!Q47)</f>
        <v>10</v>
      </c>
      <c r="R47" s="92">
        <f>IF('INTERACTION-PAGE'!R47="","",'INTERACTION-PAGE'!R47)</f>
        <v>5</v>
      </c>
      <c r="S47" s="92" t="str">
        <f>IF('INTERACTION-PAGE'!S47="","",'INTERACTION-PAGE'!S47)</f>
        <v/>
      </c>
      <c r="T47" s="92">
        <f>IF('INTERACTION-PAGE'!T47="","",'INTERACTION-PAGE'!T47)</f>
        <v>1</v>
      </c>
      <c r="U47" s="92">
        <f>IF('INTERACTION-PAGE'!U47="","",'INTERACTION-PAGE'!U47)</f>
        <v>2</v>
      </c>
      <c r="V47" s="92">
        <f>IF('INTERACTION-PAGE'!V47="","",'INTERACTION-PAGE'!V47)</f>
        <v>5</v>
      </c>
      <c r="W47" s="92">
        <f>IF('INTERACTION-PAGE'!W47="","",'INTERACTION-PAGE'!W47)</f>
        <v>6.5</v>
      </c>
      <c r="X47" s="92" t="str">
        <f>IF('INTERACTION-PAGE'!X47="","",'INTERACTION-PAGE'!X47)</f>
        <v/>
      </c>
      <c r="Y47" s="167">
        <f t="shared" si="6"/>
        <v>51.33333333</v>
      </c>
      <c r="Z47" s="167">
        <f t="shared" ref="Z47:AD47" si="41">IF(OR( $B47="", $B47="AB", $B47="UR", $C47="", $C47="AB", $C47="UR", $D47="AB", $D47="UR"),"",(IF(OR(E$10&gt;0,J$10&gt;0,O$10&gt;0,T$10&gt;0),(Z$10*(IF(AND(E$10&gt;0), IF(OR(E47="", E47="AB",E47="UR"),0,E47),0) +IF(AND(J$10&gt;0), IF(OR(J47="",J47="AB",J47=""),0,J47),0)+IF(AND(O$10&gt;0), IF(OR(O47="", O47="AB",O47="UR"),0,O47),0)+IF(AND(T$10&gt;0), IF(OR(T47="",T47="AB",T47="UR"),0,T47),0))/(E$10+J$10+O$10+T$10))," ")))</f>
        <v>72.22222222</v>
      </c>
      <c r="AA47" s="167">
        <f t="shared" si="41"/>
        <v>62.82051282</v>
      </c>
      <c r="AB47" s="167">
        <f t="shared" si="41"/>
        <v>37.5</v>
      </c>
      <c r="AC47" s="167">
        <f t="shared" si="41"/>
        <v>32.85714286</v>
      </c>
      <c r="AD47" s="167" t="str">
        <f t="shared" si="41"/>
        <v> </v>
      </c>
      <c r="AE47" s="168">
        <f t="shared" si="5"/>
        <v>51.34996947</v>
      </c>
      <c r="AF47" s="29"/>
    </row>
    <row r="48" ht="15.0" customHeight="1">
      <c r="A48" s="79">
        <v>38.0</v>
      </c>
      <c r="B48" s="92" t="str">
        <f>IF('INTERACTION-PAGE'!B48="","",'INTERACTION-PAGE'!B48)</f>
        <v>MEB21054</v>
      </c>
      <c r="C48" s="92" t="str">
        <f>IF('INTERACTION-PAGE'!C48="","",'INTERACTION-PAGE'!C48)</f>
        <v>DEEPJYOTI  DHAR</v>
      </c>
      <c r="D48" s="92" t="str">
        <f>IF('INTERACTION-PAGE'!D48="","",'INTERACTION-PAGE'!D48)</f>
        <v/>
      </c>
      <c r="E48" s="92">
        <f>IF('INTERACTION-PAGE'!E48="","",'INTERACTION-PAGE'!E48)</f>
        <v>7</v>
      </c>
      <c r="F48" s="92">
        <f>IF('INTERACTION-PAGE'!F48="","",'INTERACTION-PAGE'!F48)</f>
        <v>11.5</v>
      </c>
      <c r="G48" s="92" t="str">
        <f>IF('INTERACTION-PAGE'!G48="","",'INTERACTION-PAGE'!G48)</f>
        <v/>
      </c>
      <c r="H48" s="92" t="str">
        <f>IF('INTERACTION-PAGE'!H48="","",'INTERACTION-PAGE'!H48)</f>
        <v/>
      </c>
      <c r="I48" s="92" t="str">
        <f>IF('INTERACTION-PAGE'!I48="","",'INTERACTION-PAGE'!I48)</f>
        <v/>
      </c>
      <c r="J48" s="92">
        <f>IF('INTERACTION-PAGE'!J48="","",'INTERACTION-PAGE'!J48)</f>
        <v>9</v>
      </c>
      <c r="K48" s="92">
        <f>IF('INTERACTION-PAGE'!K48="","",'INTERACTION-PAGE'!K48)</f>
        <v>6</v>
      </c>
      <c r="L48" s="92" t="str">
        <f>IF('INTERACTION-PAGE'!L48="","",'INTERACTION-PAGE'!L48)</f>
        <v/>
      </c>
      <c r="M48" s="92" t="str">
        <f>IF('INTERACTION-PAGE'!M48="","",'INTERACTION-PAGE'!M48)</f>
        <v/>
      </c>
      <c r="N48" s="92" t="str">
        <f>IF('INTERACTION-PAGE'!N48="","",'INTERACTION-PAGE'!N48)</f>
        <v/>
      </c>
      <c r="O48" s="92">
        <f>IF('INTERACTION-PAGE'!O48="","",'INTERACTION-PAGE'!O48)</f>
        <v>4</v>
      </c>
      <c r="P48" s="92">
        <f>IF('INTERACTION-PAGE'!P48="","",'INTERACTION-PAGE'!P48)</f>
        <v>3</v>
      </c>
      <c r="Q48" s="92">
        <f>IF('INTERACTION-PAGE'!Q48="","",'INTERACTION-PAGE'!Q48)</f>
        <v>13.5</v>
      </c>
      <c r="R48" s="92">
        <f>IF('INTERACTION-PAGE'!R48="","",'INTERACTION-PAGE'!R48)</f>
        <v>7</v>
      </c>
      <c r="S48" s="92" t="str">
        <f>IF('INTERACTION-PAGE'!S48="","",'INTERACTION-PAGE'!S48)</f>
        <v/>
      </c>
      <c r="T48" s="92">
        <f>IF('INTERACTION-PAGE'!T48="","",'INTERACTION-PAGE'!T48)</f>
        <v>3</v>
      </c>
      <c r="U48" s="92">
        <f>IF('INTERACTION-PAGE'!U48="","",'INTERACTION-PAGE'!U48)</f>
        <v>6</v>
      </c>
      <c r="V48" s="92">
        <f>IF('INTERACTION-PAGE'!V48="","",'INTERACTION-PAGE'!V48)</f>
        <v>11</v>
      </c>
      <c r="W48" s="92">
        <f>IF('INTERACTION-PAGE'!W48="","",'INTERACTION-PAGE'!W48)</f>
        <v>14</v>
      </c>
      <c r="X48" s="92" t="str">
        <f>IF('INTERACTION-PAGE'!X48="","",'INTERACTION-PAGE'!X48)</f>
        <v/>
      </c>
      <c r="Y48" s="167">
        <f t="shared" si="6"/>
        <v>63.33333333</v>
      </c>
      <c r="Z48" s="167">
        <f t="shared" ref="Z48:AD48" si="42">IF(OR( $B48="", $B48="AB", $B48="UR", $C48="", $C48="AB", $C48="UR", $D48="AB", $D48="UR"),"",(IF(OR(E$10&gt;0,J$10&gt;0,O$10&gt;0,T$10&gt;0),(Z$10*(IF(AND(E$10&gt;0), IF(OR(E48="", E48="AB",E48="UR"),0,E48),0) +IF(AND(J$10&gt;0), IF(OR(J48="",J48="AB",J48=""),0,J48),0)+IF(AND(O$10&gt;0), IF(OR(O48="", O48="AB",O48="UR"),0,O48),0)+IF(AND(T$10&gt;0), IF(OR(T48="",T48="AB",T48="UR"),0,T48),0))/(E$10+J$10+O$10+T$10))," ")))</f>
        <v>63.88888889</v>
      </c>
      <c r="AA48" s="167">
        <f t="shared" si="42"/>
        <v>67.94871795</v>
      </c>
      <c r="AB48" s="167">
        <f t="shared" si="42"/>
        <v>61.25</v>
      </c>
      <c r="AC48" s="167">
        <f t="shared" si="42"/>
        <v>60</v>
      </c>
      <c r="AD48" s="167" t="str">
        <f t="shared" si="42"/>
        <v> </v>
      </c>
      <c r="AE48" s="168">
        <f t="shared" si="5"/>
        <v>63.27190171</v>
      </c>
      <c r="AF48" s="29"/>
    </row>
    <row r="49" ht="15.0" customHeight="1">
      <c r="A49" s="65">
        <v>39.0</v>
      </c>
      <c r="B49" s="92" t="str">
        <f>IF('INTERACTION-PAGE'!B49="","",'INTERACTION-PAGE'!B49)</f>
        <v>MEB21055</v>
      </c>
      <c r="C49" s="92" t="str">
        <f>IF('INTERACTION-PAGE'!C49="","",'INTERACTION-PAGE'!C49)</f>
        <v>NITISH  KUMAR</v>
      </c>
      <c r="D49" s="92" t="str">
        <f>IF('INTERACTION-PAGE'!D49="","",'INTERACTION-PAGE'!D49)</f>
        <v/>
      </c>
      <c r="E49" s="92">
        <f>IF('INTERACTION-PAGE'!E49="","",'INTERACTION-PAGE'!E49)</f>
        <v>6</v>
      </c>
      <c r="F49" s="92">
        <f>IF('INTERACTION-PAGE'!F49="","",'INTERACTION-PAGE'!F49)</f>
        <v>9</v>
      </c>
      <c r="G49" s="92" t="str">
        <f>IF('INTERACTION-PAGE'!G49="","",'INTERACTION-PAGE'!G49)</f>
        <v/>
      </c>
      <c r="H49" s="92" t="str">
        <f>IF('INTERACTION-PAGE'!H49="","",'INTERACTION-PAGE'!H49)</f>
        <v/>
      </c>
      <c r="I49" s="92" t="str">
        <f>IF('INTERACTION-PAGE'!I49="","",'INTERACTION-PAGE'!I49)</f>
        <v/>
      </c>
      <c r="J49" s="92">
        <f>IF('INTERACTION-PAGE'!J49="","",'INTERACTION-PAGE'!J49)</f>
        <v>11</v>
      </c>
      <c r="K49" s="92">
        <f>IF('INTERACTION-PAGE'!K49="","",'INTERACTION-PAGE'!K49)</f>
        <v>8</v>
      </c>
      <c r="L49" s="92" t="str">
        <f>IF('INTERACTION-PAGE'!L49="","",'INTERACTION-PAGE'!L49)</f>
        <v/>
      </c>
      <c r="M49" s="92" t="str">
        <f>IF('INTERACTION-PAGE'!M49="","",'INTERACTION-PAGE'!M49)</f>
        <v/>
      </c>
      <c r="N49" s="92" t="str">
        <f>IF('INTERACTION-PAGE'!N49="","",'INTERACTION-PAGE'!N49)</f>
        <v/>
      </c>
      <c r="O49" s="92">
        <f>IF('INTERACTION-PAGE'!O49="","",'INTERACTION-PAGE'!O49)</f>
        <v>2</v>
      </c>
      <c r="P49" s="92">
        <f>IF('INTERACTION-PAGE'!P49="","",'INTERACTION-PAGE'!P49)</f>
        <v>1</v>
      </c>
      <c r="Q49" s="92">
        <f>IF('INTERACTION-PAGE'!Q49="","",'INTERACTION-PAGE'!Q49)</f>
        <v>7</v>
      </c>
      <c r="R49" s="92">
        <f>IF('INTERACTION-PAGE'!R49="","",'INTERACTION-PAGE'!R49)</f>
        <v>4</v>
      </c>
      <c r="S49" s="92" t="str">
        <f>IF('INTERACTION-PAGE'!S49="","",'INTERACTION-PAGE'!S49)</f>
        <v/>
      </c>
      <c r="T49" s="92">
        <f>IF('INTERACTION-PAGE'!T49="","",'INTERACTION-PAGE'!T49)</f>
        <v>1</v>
      </c>
      <c r="U49" s="92">
        <f>IF('INTERACTION-PAGE'!U49="","",'INTERACTION-PAGE'!U49)</f>
        <v>2</v>
      </c>
      <c r="V49" s="92">
        <f>IF('INTERACTION-PAGE'!V49="","",'INTERACTION-PAGE'!V49)</f>
        <v>4</v>
      </c>
      <c r="W49" s="92">
        <f>IF('INTERACTION-PAGE'!W49="","",'INTERACTION-PAGE'!W49)</f>
        <v>5</v>
      </c>
      <c r="X49" s="92" t="str">
        <f>IF('INTERACTION-PAGE'!X49="","",'INTERACTION-PAGE'!X49)</f>
        <v/>
      </c>
      <c r="Y49" s="167">
        <f t="shared" si="6"/>
        <v>40</v>
      </c>
      <c r="Z49" s="167">
        <f t="shared" ref="Z49:AD49" si="43">IF(OR( $B49="", $B49="AB", $B49="UR", $C49="", $C49="AB", $C49="UR", $D49="AB", $D49="UR"),"",(IF(OR(E$10&gt;0,J$10&gt;0,O$10&gt;0,T$10&gt;0),(Z$10*(IF(AND(E$10&gt;0), IF(OR(E49="", E49="AB",E49="UR"),0,E49),0) +IF(AND(J$10&gt;0), IF(OR(J49="",J49="AB",J49=""),0,J49),0)+IF(AND(O$10&gt;0), IF(OR(O49="", O49="AB",O49="UR"),0,O49),0)+IF(AND(T$10&gt;0), IF(OR(T49="",T49="AB",T49="UR"),0,T49),0))/(E$10+J$10+O$10+T$10))," ")))</f>
        <v>55.55555556</v>
      </c>
      <c r="AA49" s="167">
        <f t="shared" si="43"/>
        <v>51.28205128</v>
      </c>
      <c r="AB49" s="167">
        <f t="shared" si="43"/>
        <v>27.5</v>
      </c>
      <c r="AC49" s="167">
        <f t="shared" si="43"/>
        <v>25.71428571</v>
      </c>
      <c r="AD49" s="167" t="str">
        <f t="shared" si="43"/>
        <v> </v>
      </c>
      <c r="AE49" s="168">
        <f t="shared" si="5"/>
        <v>40.01297314</v>
      </c>
      <c r="AF49" s="29"/>
    </row>
    <row r="50" ht="15.0" customHeight="1">
      <c r="A50" s="79">
        <v>40.0</v>
      </c>
      <c r="B50" s="92" t="str">
        <f>IF('INTERACTION-PAGE'!B50="","",'INTERACTION-PAGE'!B50)</f>
        <v>MEB21056</v>
      </c>
      <c r="C50" s="92" t="str">
        <f>IF('INTERACTION-PAGE'!C50="","",'INTERACTION-PAGE'!C50)</f>
        <v>ROHIT KUMAR SINGH ECB21085</v>
      </c>
      <c r="D50" s="92" t="str">
        <f>IF('INTERACTION-PAGE'!D50="","",'INTERACTION-PAGE'!D50)</f>
        <v/>
      </c>
      <c r="E50" s="92">
        <f>IF('INTERACTION-PAGE'!E50="","",'INTERACTION-PAGE'!E50)</f>
        <v>8</v>
      </c>
      <c r="F50" s="92">
        <f>IF('INTERACTION-PAGE'!F50="","",'INTERACTION-PAGE'!F50)</f>
        <v>12</v>
      </c>
      <c r="G50" s="92" t="str">
        <f>IF('INTERACTION-PAGE'!G50="","",'INTERACTION-PAGE'!G50)</f>
        <v/>
      </c>
      <c r="H50" s="92" t="str">
        <f>IF('INTERACTION-PAGE'!H50="","",'INTERACTION-PAGE'!H50)</f>
        <v/>
      </c>
      <c r="I50" s="92" t="str">
        <f>IF('INTERACTION-PAGE'!I50="","",'INTERACTION-PAGE'!I50)</f>
        <v/>
      </c>
      <c r="J50" s="92">
        <f>IF('INTERACTION-PAGE'!J50="","",'INTERACTION-PAGE'!J50)</f>
        <v>15</v>
      </c>
      <c r="K50" s="92">
        <f>IF('INTERACTION-PAGE'!K50="","",'INTERACTION-PAGE'!K50)</f>
        <v>10</v>
      </c>
      <c r="L50" s="92" t="str">
        <f>IF('INTERACTION-PAGE'!L50="","",'INTERACTION-PAGE'!L50)</f>
        <v/>
      </c>
      <c r="M50" s="92" t="str">
        <f>IF('INTERACTION-PAGE'!M50="","",'INTERACTION-PAGE'!M50)</f>
        <v/>
      </c>
      <c r="N50" s="92" t="str">
        <f>IF('INTERACTION-PAGE'!N50="","",'INTERACTION-PAGE'!N50)</f>
        <v/>
      </c>
      <c r="O50" s="92">
        <f>IF('INTERACTION-PAGE'!O50="","",'INTERACTION-PAGE'!O50)</f>
        <v>3</v>
      </c>
      <c r="P50" s="92">
        <f>IF('INTERACTION-PAGE'!P50="","",'INTERACTION-PAGE'!P50)</f>
        <v>2</v>
      </c>
      <c r="Q50" s="92">
        <f>IF('INTERACTION-PAGE'!Q50="","",'INTERACTION-PAGE'!Q50)</f>
        <v>11</v>
      </c>
      <c r="R50" s="92">
        <f>IF('INTERACTION-PAGE'!R50="","",'INTERACTION-PAGE'!R50)</f>
        <v>6</v>
      </c>
      <c r="S50" s="92" t="str">
        <f>IF('INTERACTION-PAGE'!S50="","",'INTERACTION-PAGE'!S50)</f>
        <v/>
      </c>
      <c r="T50" s="92">
        <f>IF('INTERACTION-PAGE'!T50="","",'INTERACTION-PAGE'!T50)</f>
        <v>2</v>
      </c>
      <c r="U50" s="92">
        <f>IF('INTERACTION-PAGE'!U50="","",'INTERACTION-PAGE'!U50)</f>
        <v>4</v>
      </c>
      <c r="V50" s="92">
        <f>IF('INTERACTION-PAGE'!V50="","",'INTERACTION-PAGE'!V50)</f>
        <v>8</v>
      </c>
      <c r="W50" s="92">
        <f>IF('INTERACTION-PAGE'!W50="","",'INTERACTION-PAGE'!W50)</f>
        <v>9.5</v>
      </c>
      <c r="X50" s="92" t="str">
        <f>IF('INTERACTION-PAGE'!X50="","",'INTERACTION-PAGE'!X50)</f>
        <v/>
      </c>
      <c r="Y50" s="167">
        <f t="shared" si="6"/>
        <v>60.33333333</v>
      </c>
      <c r="Z50" s="167">
        <f t="shared" ref="Z50:AD50" si="44">IF(OR( $B50="", $B50="AB", $B50="UR", $C50="", $C50="AB", $C50="UR", $D50="AB", $D50="UR"),"",(IF(OR(E$10&gt;0,J$10&gt;0,O$10&gt;0,T$10&gt;0),(Z$10*(IF(AND(E$10&gt;0), IF(OR(E50="", E50="AB",E50="UR"),0,E50),0) +IF(AND(J$10&gt;0), IF(OR(J50="",J50="AB",J50=""),0,J50),0)+IF(AND(O$10&gt;0), IF(OR(O50="", O50="AB",O50="UR"),0,O50),0)+IF(AND(T$10&gt;0), IF(OR(T50="",T50="AB",T50="UR"),0,T50),0))/(E$10+J$10+O$10+T$10))," ")))</f>
        <v>77.77777778</v>
      </c>
      <c r="AA50" s="167">
        <f t="shared" si="44"/>
        <v>71.79487179</v>
      </c>
      <c r="AB50" s="167">
        <f t="shared" si="44"/>
        <v>47.5</v>
      </c>
      <c r="AC50" s="167">
        <f t="shared" si="44"/>
        <v>44.28571429</v>
      </c>
      <c r="AD50" s="167" t="str">
        <f t="shared" si="44"/>
        <v> </v>
      </c>
      <c r="AE50" s="168">
        <f t="shared" si="5"/>
        <v>60.33959096</v>
      </c>
      <c r="AF50" s="29"/>
    </row>
    <row r="51" ht="15.0" customHeight="1">
      <c r="A51" s="65">
        <v>41.0</v>
      </c>
      <c r="B51" s="92" t="str">
        <f>IF('INTERACTION-PAGE'!B51="","",'INTERACTION-PAGE'!B51)</f>
        <v>MEB21057</v>
      </c>
      <c r="C51" s="92" t="str">
        <f>IF('INTERACTION-PAGE'!C51="","",'INTERACTION-PAGE'!C51)</f>
        <v>GOURAB  ROY</v>
      </c>
      <c r="D51" s="92" t="str">
        <f>IF('INTERACTION-PAGE'!D51="","",'INTERACTION-PAGE'!D51)</f>
        <v/>
      </c>
      <c r="E51" s="92">
        <f>IF('INTERACTION-PAGE'!E51="","",'INTERACTION-PAGE'!E51)</f>
        <v>5</v>
      </c>
      <c r="F51" s="92">
        <f>IF('INTERACTION-PAGE'!F51="","",'INTERACTION-PAGE'!F51)</f>
        <v>7.5</v>
      </c>
      <c r="G51" s="92" t="str">
        <f>IF('INTERACTION-PAGE'!G51="","",'INTERACTION-PAGE'!G51)</f>
        <v/>
      </c>
      <c r="H51" s="92" t="str">
        <f>IF('INTERACTION-PAGE'!H51="","",'INTERACTION-PAGE'!H51)</f>
        <v/>
      </c>
      <c r="I51" s="92" t="str">
        <f>IF('INTERACTION-PAGE'!I51="","",'INTERACTION-PAGE'!I51)</f>
        <v/>
      </c>
      <c r="J51" s="92">
        <f>IF('INTERACTION-PAGE'!J51="","",'INTERACTION-PAGE'!J51)</f>
        <v>9</v>
      </c>
      <c r="K51" s="92">
        <f>IF('INTERACTION-PAGE'!K51="","",'INTERACTION-PAGE'!K51)</f>
        <v>6</v>
      </c>
      <c r="L51" s="92" t="str">
        <f>IF('INTERACTION-PAGE'!L51="","",'INTERACTION-PAGE'!L51)</f>
        <v/>
      </c>
      <c r="M51" s="92" t="str">
        <f>IF('INTERACTION-PAGE'!M51="","",'INTERACTION-PAGE'!M51)</f>
        <v/>
      </c>
      <c r="N51" s="92" t="str">
        <f>IF('INTERACTION-PAGE'!N51="","",'INTERACTION-PAGE'!N51)</f>
        <v/>
      </c>
      <c r="O51" s="92">
        <f>IF('INTERACTION-PAGE'!O51="","",'INTERACTION-PAGE'!O51)</f>
        <v>3</v>
      </c>
      <c r="P51" s="92">
        <f>IF('INTERACTION-PAGE'!P51="","",'INTERACTION-PAGE'!P51)</f>
        <v>2</v>
      </c>
      <c r="Q51" s="92">
        <f>IF('INTERACTION-PAGE'!Q51="","",'INTERACTION-PAGE'!Q51)</f>
        <v>9</v>
      </c>
      <c r="R51" s="92">
        <f>IF('INTERACTION-PAGE'!R51="","",'INTERACTION-PAGE'!R51)</f>
        <v>5</v>
      </c>
      <c r="S51" s="92" t="str">
        <f>IF('INTERACTION-PAGE'!S51="","",'INTERACTION-PAGE'!S51)</f>
        <v/>
      </c>
      <c r="T51" s="92">
        <f>IF('INTERACTION-PAGE'!T51="","",'INTERACTION-PAGE'!T51)</f>
        <v>1</v>
      </c>
      <c r="U51" s="92">
        <f>IF('INTERACTION-PAGE'!U51="","",'INTERACTION-PAGE'!U51)</f>
        <v>1</v>
      </c>
      <c r="V51" s="92">
        <f>IF('INTERACTION-PAGE'!V51="","",'INTERACTION-PAGE'!V51)</f>
        <v>2</v>
      </c>
      <c r="W51" s="92">
        <f>IF('INTERACTION-PAGE'!W51="","",'INTERACTION-PAGE'!W51)</f>
        <v>2</v>
      </c>
      <c r="X51" s="92" t="str">
        <f>IF('INTERACTION-PAGE'!X51="","",'INTERACTION-PAGE'!X51)</f>
        <v/>
      </c>
      <c r="Y51" s="167">
        <f t="shared" si="6"/>
        <v>35</v>
      </c>
      <c r="Z51" s="167">
        <f t="shared" ref="Z51:AD51" si="45">IF(OR( $B51="", $B51="AB", $B51="UR", $C51="", $C51="AB", $C51="UR", $D51="AB", $D51="UR"),"",(IF(OR(E$10&gt;0,J$10&gt;0,O$10&gt;0,T$10&gt;0),(Z$10*(IF(AND(E$10&gt;0), IF(OR(E51="", E51="AB",E51="UR"),0,E51),0) +IF(AND(J$10&gt;0), IF(OR(J51="",J51="AB",J51=""),0,J51),0)+IF(AND(O$10&gt;0), IF(OR(O51="", O51="AB",O51="UR"),0,O51),0)+IF(AND(T$10&gt;0), IF(OR(T51="",T51="AB",T51="UR"),0,T51),0))/(E$10+J$10+O$10+T$10))," ")))</f>
        <v>50</v>
      </c>
      <c r="AA51" s="167">
        <f t="shared" si="45"/>
        <v>42.30769231</v>
      </c>
      <c r="AB51" s="167">
        <f t="shared" si="45"/>
        <v>27.5</v>
      </c>
      <c r="AC51" s="167">
        <f t="shared" si="45"/>
        <v>20</v>
      </c>
      <c r="AD51" s="167" t="str">
        <f t="shared" si="45"/>
        <v> </v>
      </c>
      <c r="AE51" s="168">
        <f t="shared" si="5"/>
        <v>34.95192308</v>
      </c>
      <c r="AF51" s="29"/>
    </row>
    <row r="52" ht="15.0" customHeight="1">
      <c r="A52" s="79">
        <v>42.0</v>
      </c>
      <c r="B52" s="92" t="str">
        <f>IF('INTERACTION-PAGE'!B52="","",'INTERACTION-PAGE'!B52)</f>
        <v>MEB21058</v>
      </c>
      <c r="C52" s="92" t="str">
        <f>IF('INTERACTION-PAGE'!C52="","",'INTERACTION-PAGE'!C52)</f>
        <v>IMRANA  KHAN ECB21086</v>
      </c>
      <c r="D52" s="92" t="str">
        <f>IF('INTERACTION-PAGE'!D52="","",'INTERACTION-PAGE'!D52)</f>
        <v/>
      </c>
      <c r="E52" s="92">
        <f>IF('INTERACTION-PAGE'!E52="","",'INTERACTION-PAGE'!E52)</f>
        <v>7</v>
      </c>
      <c r="F52" s="92">
        <f>IF('INTERACTION-PAGE'!F52="","",'INTERACTION-PAGE'!F52)</f>
        <v>10.5</v>
      </c>
      <c r="G52" s="92" t="str">
        <f>IF('INTERACTION-PAGE'!G52="","",'INTERACTION-PAGE'!G52)</f>
        <v/>
      </c>
      <c r="H52" s="92" t="str">
        <f>IF('INTERACTION-PAGE'!H52="","",'INTERACTION-PAGE'!H52)</f>
        <v/>
      </c>
      <c r="I52" s="92" t="str">
        <f>IF('INTERACTION-PAGE'!I52="","",'INTERACTION-PAGE'!I52)</f>
        <v/>
      </c>
      <c r="J52" s="92">
        <f>IF('INTERACTION-PAGE'!J52="","",'INTERACTION-PAGE'!J52)</f>
        <v>15</v>
      </c>
      <c r="K52" s="92">
        <f>IF('INTERACTION-PAGE'!K52="","",'INTERACTION-PAGE'!K52)</f>
        <v>10</v>
      </c>
      <c r="L52" s="92" t="str">
        <f>IF('INTERACTION-PAGE'!L52="","",'INTERACTION-PAGE'!L52)</f>
        <v/>
      </c>
      <c r="M52" s="92" t="str">
        <f>IF('INTERACTION-PAGE'!M52="","",'INTERACTION-PAGE'!M52)</f>
        <v/>
      </c>
      <c r="N52" s="92" t="str">
        <f>IF('INTERACTION-PAGE'!N52="","",'INTERACTION-PAGE'!N52)</f>
        <v/>
      </c>
      <c r="O52" s="92">
        <f>IF('INTERACTION-PAGE'!O52="","",'INTERACTION-PAGE'!O52)</f>
        <v>2</v>
      </c>
      <c r="P52" s="92">
        <f>IF('INTERACTION-PAGE'!P52="","",'INTERACTION-PAGE'!P52)</f>
        <v>2</v>
      </c>
      <c r="Q52" s="92">
        <f>IF('INTERACTION-PAGE'!Q52="","",'INTERACTION-PAGE'!Q52)</f>
        <v>8.5</v>
      </c>
      <c r="R52" s="92">
        <f>IF('INTERACTION-PAGE'!R52="","",'INTERACTION-PAGE'!R52)</f>
        <v>4</v>
      </c>
      <c r="S52" s="92" t="str">
        <f>IF('INTERACTION-PAGE'!S52="","",'INTERACTION-PAGE'!S52)</f>
        <v/>
      </c>
      <c r="T52" s="92">
        <f>IF('INTERACTION-PAGE'!T52="","",'INTERACTION-PAGE'!T52)</f>
        <v>2</v>
      </c>
      <c r="U52" s="92">
        <f>IF('INTERACTION-PAGE'!U52="","",'INTERACTION-PAGE'!U52)</f>
        <v>4</v>
      </c>
      <c r="V52" s="92">
        <f>IF('INTERACTION-PAGE'!V52="","",'INTERACTION-PAGE'!V52)</f>
        <v>8</v>
      </c>
      <c r="W52" s="92">
        <f>IF('INTERACTION-PAGE'!W52="","",'INTERACTION-PAGE'!W52)</f>
        <v>9</v>
      </c>
      <c r="X52" s="92" t="str">
        <f>IF('INTERACTION-PAGE'!X52="","",'INTERACTION-PAGE'!X52)</f>
        <v/>
      </c>
      <c r="Y52" s="167">
        <f t="shared" si="6"/>
        <v>54.66666667</v>
      </c>
      <c r="Z52" s="167">
        <f t="shared" ref="Z52:AD52" si="46">IF(OR( $B52="", $B52="AB", $B52="UR", $C52="", $C52="AB", $C52="UR", $D52="AB", $D52="UR"),"",(IF(OR(E$10&gt;0,J$10&gt;0,O$10&gt;0,T$10&gt;0),(Z$10*(IF(AND(E$10&gt;0), IF(OR(E52="", E52="AB",E52="UR"),0,E52),0) +IF(AND(J$10&gt;0), IF(OR(J52="",J52="AB",J52=""),0,J52),0)+IF(AND(O$10&gt;0), IF(OR(O52="", O52="AB",O52="UR"),0,O52),0)+IF(AND(T$10&gt;0), IF(OR(T52="",T52="AB",T52="UR"),0,T52),0))/(E$10+J$10+O$10+T$10))," ")))</f>
        <v>72.22222222</v>
      </c>
      <c r="AA52" s="167">
        <f t="shared" si="46"/>
        <v>67.94871795</v>
      </c>
      <c r="AB52" s="167">
        <f t="shared" si="46"/>
        <v>41.25</v>
      </c>
      <c r="AC52" s="167">
        <f t="shared" si="46"/>
        <v>37.14285714</v>
      </c>
      <c r="AD52" s="167" t="str">
        <f t="shared" si="46"/>
        <v> </v>
      </c>
      <c r="AE52" s="168">
        <f t="shared" si="5"/>
        <v>54.64094933</v>
      </c>
      <c r="AF52" s="29"/>
    </row>
    <row r="53" ht="15.0" customHeight="1">
      <c r="A53" s="65">
        <v>43.0</v>
      </c>
      <c r="B53" s="92" t="str">
        <f>IF('INTERACTION-PAGE'!B53="","",'INTERACTION-PAGE'!B53)</f>
        <v>MEB21059</v>
      </c>
      <c r="C53" s="92" t="str">
        <f>IF('INTERACTION-PAGE'!C53="","",'INTERACTION-PAGE'!C53)</f>
        <v>ABHISHEK  NATH</v>
      </c>
      <c r="D53" s="92" t="str">
        <f>IF('INTERACTION-PAGE'!D53="","",'INTERACTION-PAGE'!D53)</f>
        <v/>
      </c>
      <c r="E53" s="92">
        <f>IF('INTERACTION-PAGE'!E53="","",'INTERACTION-PAGE'!E53)</f>
        <v>7</v>
      </c>
      <c r="F53" s="92">
        <f>IF('INTERACTION-PAGE'!F53="","",'INTERACTION-PAGE'!F53)</f>
        <v>10</v>
      </c>
      <c r="G53" s="92" t="str">
        <f>IF('INTERACTION-PAGE'!G53="","",'INTERACTION-PAGE'!G53)</f>
        <v/>
      </c>
      <c r="H53" s="92" t="str">
        <f>IF('INTERACTION-PAGE'!H53="","",'INTERACTION-PAGE'!H53)</f>
        <v/>
      </c>
      <c r="I53" s="92" t="str">
        <f>IF('INTERACTION-PAGE'!I53="","",'INTERACTION-PAGE'!I53)</f>
        <v/>
      </c>
      <c r="J53" s="92">
        <f>IF('INTERACTION-PAGE'!J53="","",'INTERACTION-PAGE'!J53)</f>
        <v>11</v>
      </c>
      <c r="K53" s="92">
        <f>IF('INTERACTION-PAGE'!K53="","",'INTERACTION-PAGE'!K53)</f>
        <v>8</v>
      </c>
      <c r="L53" s="92" t="str">
        <f>IF('INTERACTION-PAGE'!L53="","",'INTERACTION-PAGE'!L53)</f>
        <v/>
      </c>
      <c r="M53" s="92" t="str">
        <f>IF('INTERACTION-PAGE'!M53="","",'INTERACTION-PAGE'!M53)</f>
        <v/>
      </c>
      <c r="N53" s="92" t="str">
        <f>IF('INTERACTION-PAGE'!N53="","",'INTERACTION-PAGE'!N53)</f>
        <v/>
      </c>
      <c r="O53" s="92">
        <f>IF('INTERACTION-PAGE'!O53="","",'INTERACTION-PAGE'!O53)</f>
        <v>3</v>
      </c>
      <c r="P53" s="92">
        <f>IF('INTERACTION-PAGE'!P53="","",'INTERACTION-PAGE'!P53)</f>
        <v>2</v>
      </c>
      <c r="Q53" s="92">
        <f>IF('INTERACTION-PAGE'!Q53="","",'INTERACTION-PAGE'!Q53)</f>
        <v>8</v>
      </c>
      <c r="R53" s="92">
        <f>IF('INTERACTION-PAGE'!R53="","",'INTERACTION-PAGE'!R53)</f>
        <v>5</v>
      </c>
      <c r="S53" s="92" t="str">
        <f>IF('INTERACTION-PAGE'!S53="","",'INTERACTION-PAGE'!S53)</f>
        <v/>
      </c>
      <c r="T53" s="92">
        <f>IF('INTERACTION-PAGE'!T53="","",'INTERACTION-PAGE'!T53)</f>
        <v>1</v>
      </c>
      <c r="U53" s="92">
        <f>IF('INTERACTION-PAGE'!U53="","",'INTERACTION-PAGE'!U53)</f>
        <v>3</v>
      </c>
      <c r="V53" s="92">
        <f>IF('INTERACTION-PAGE'!V53="","",'INTERACTION-PAGE'!V53)</f>
        <v>5</v>
      </c>
      <c r="W53" s="92">
        <f>IF('INTERACTION-PAGE'!W53="","",'INTERACTION-PAGE'!W53)</f>
        <v>6.5</v>
      </c>
      <c r="X53" s="92" t="str">
        <f>IF('INTERACTION-PAGE'!X53="","",'INTERACTION-PAGE'!X53)</f>
        <v/>
      </c>
      <c r="Y53" s="167">
        <f t="shared" si="6"/>
        <v>46.33333333</v>
      </c>
      <c r="Z53" s="167">
        <f t="shared" ref="Z53:AD53" si="47">IF(OR( $B53="", $B53="AB", $B53="UR", $C53="", $C53="AB", $C53="UR", $D53="AB", $D53="UR"),"",(IF(OR(E$10&gt;0,J$10&gt;0,O$10&gt;0,T$10&gt;0),(Z$10*(IF(AND(E$10&gt;0), IF(OR(E53="", E53="AB",E53="UR"),0,E53),0) +IF(AND(J$10&gt;0), IF(OR(J53="",J53="AB",J53=""),0,J53),0)+IF(AND(O$10&gt;0), IF(OR(O53="", O53="AB",O53="UR"),0,O53),0)+IF(AND(T$10&gt;0), IF(OR(T53="",T53="AB",T53="UR"),0,T53),0))/(E$10+J$10+O$10+T$10))," ")))</f>
        <v>61.11111111</v>
      </c>
      <c r="AA53" s="167">
        <f t="shared" si="47"/>
        <v>58.97435897</v>
      </c>
      <c r="AB53" s="167">
        <f t="shared" si="47"/>
        <v>32.5</v>
      </c>
      <c r="AC53" s="167">
        <f t="shared" si="47"/>
        <v>32.85714286</v>
      </c>
      <c r="AD53" s="167" t="str">
        <f t="shared" si="47"/>
        <v> </v>
      </c>
      <c r="AE53" s="168">
        <f t="shared" si="5"/>
        <v>46.36065324</v>
      </c>
      <c r="AF53" s="29"/>
    </row>
    <row r="54" ht="15.0" customHeight="1">
      <c r="A54" s="79">
        <v>44.0</v>
      </c>
      <c r="B54" s="92" t="str">
        <f>IF('INTERACTION-PAGE'!B54="","",'INTERACTION-PAGE'!B54)</f>
        <v>MEB21060</v>
      </c>
      <c r="C54" s="92" t="str">
        <f>IF('INTERACTION-PAGE'!C54="","",'INTERACTION-PAGE'!C54)</f>
        <v>BISHAL  MALA</v>
      </c>
      <c r="D54" s="92" t="str">
        <f>IF('INTERACTION-PAGE'!D54="","",'INTERACTION-PAGE'!D54)</f>
        <v/>
      </c>
      <c r="E54" s="92">
        <f>IF('INTERACTION-PAGE'!E54="","",'INTERACTION-PAGE'!E54)</f>
        <v>8</v>
      </c>
      <c r="F54" s="92">
        <f>IF('INTERACTION-PAGE'!F54="","",'INTERACTION-PAGE'!F54)</f>
        <v>11</v>
      </c>
      <c r="G54" s="92" t="str">
        <f>IF('INTERACTION-PAGE'!G54="","",'INTERACTION-PAGE'!G54)</f>
        <v/>
      </c>
      <c r="H54" s="92" t="str">
        <f>IF('INTERACTION-PAGE'!H54="","",'INTERACTION-PAGE'!H54)</f>
        <v/>
      </c>
      <c r="I54" s="92" t="str">
        <f>IF('INTERACTION-PAGE'!I54="","",'INTERACTION-PAGE'!I54)</f>
        <v/>
      </c>
      <c r="J54" s="92">
        <f>IF('INTERACTION-PAGE'!J54="","",'INTERACTION-PAGE'!J54)</f>
        <v>15</v>
      </c>
      <c r="K54" s="92">
        <f>IF('INTERACTION-PAGE'!K54="","",'INTERACTION-PAGE'!K54)</f>
        <v>10</v>
      </c>
      <c r="L54" s="92" t="str">
        <f>IF('INTERACTION-PAGE'!L54="","",'INTERACTION-PAGE'!L54)</f>
        <v/>
      </c>
      <c r="M54" s="92" t="str">
        <f>IF('INTERACTION-PAGE'!M54="","",'INTERACTION-PAGE'!M54)</f>
        <v/>
      </c>
      <c r="N54" s="92" t="str">
        <f>IF('INTERACTION-PAGE'!N54="","",'INTERACTION-PAGE'!N54)</f>
        <v/>
      </c>
      <c r="O54" s="92">
        <f>IF('INTERACTION-PAGE'!O54="","",'INTERACTION-PAGE'!O54)</f>
        <v>3</v>
      </c>
      <c r="P54" s="92">
        <f>IF('INTERACTION-PAGE'!P54="","",'INTERACTION-PAGE'!P54)</f>
        <v>2</v>
      </c>
      <c r="Q54" s="92">
        <f>IF('INTERACTION-PAGE'!Q54="","",'INTERACTION-PAGE'!Q54)</f>
        <v>11</v>
      </c>
      <c r="R54" s="92">
        <f>IF('INTERACTION-PAGE'!R54="","",'INTERACTION-PAGE'!R54)</f>
        <v>5</v>
      </c>
      <c r="S54" s="92" t="str">
        <f>IF('INTERACTION-PAGE'!S54="","",'INTERACTION-PAGE'!S54)</f>
        <v/>
      </c>
      <c r="T54" s="92">
        <f>IF('INTERACTION-PAGE'!T54="","",'INTERACTION-PAGE'!T54)</f>
        <v>3</v>
      </c>
      <c r="U54" s="92">
        <f>IF('INTERACTION-PAGE'!U54="","",'INTERACTION-PAGE'!U54)</f>
        <v>5</v>
      </c>
      <c r="V54" s="92">
        <f>IF('INTERACTION-PAGE'!V54="","",'INTERACTION-PAGE'!V54)</f>
        <v>11</v>
      </c>
      <c r="W54" s="92">
        <f>IF('INTERACTION-PAGE'!W54="","",'INTERACTION-PAGE'!W54)</f>
        <v>13</v>
      </c>
      <c r="X54" s="92" t="str">
        <f>IF('INTERACTION-PAGE'!X54="","",'INTERACTION-PAGE'!X54)</f>
        <v/>
      </c>
      <c r="Y54" s="167">
        <f t="shared" si="6"/>
        <v>64.66666667</v>
      </c>
      <c r="Z54" s="167">
        <f t="shared" ref="Z54:AD54" si="48">IF(OR( $B54="", $B54="AB", $B54="UR", $C54="", $C54="AB", $C54="UR", $D54="AB", $D54="UR"),"",(IF(OR(E$10&gt;0,J$10&gt;0,O$10&gt;0,T$10&gt;0),(Z$10*(IF(AND(E$10&gt;0), IF(OR(E54="", E54="AB",E54="UR"),0,E54),0) +IF(AND(J$10&gt;0), IF(OR(J54="",J54="AB",J54=""),0,J54),0)+IF(AND(O$10&gt;0), IF(OR(O54="", O54="AB",O54="UR"),0,O54),0)+IF(AND(T$10&gt;0), IF(OR(T54="",T54="AB",T54="UR"),0,T54),0))/(E$10+J$10+O$10+T$10))," ")))</f>
        <v>80.55555556</v>
      </c>
      <c r="AA54" s="167">
        <f t="shared" si="48"/>
        <v>71.79487179</v>
      </c>
      <c r="AB54" s="167">
        <f t="shared" si="48"/>
        <v>55</v>
      </c>
      <c r="AC54" s="167">
        <f t="shared" si="48"/>
        <v>51.42857143</v>
      </c>
      <c r="AD54" s="167" t="str">
        <f t="shared" si="48"/>
        <v> </v>
      </c>
      <c r="AE54" s="168">
        <f t="shared" si="5"/>
        <v>64.69474969</v>
      </c>
      <c r="AF54" s="29"/>
    </row>
    <row r="55" ht="15.0" customHeight="1">
      <c r="A55" s="65">
        <v>45.0</v>
      </c>
      <c r="B55" s="92" t="str">
        <f>IF('INTERACTION-PAGE'!B55="","",'INTERACTION-PAGE'!B55)</f>
        <v>MEB21061</v>
      </c>
      <c r="C55" s="92" t="str">
        <f>IF('INTERACTION-PAGE'!C55="","",'INTERACTION-PAGE'!C55)</f>
        <v>SHUBHAM KUMAR KUSHWAHA ECB21082</v>
      </c>
      <c r="D55" s="92" t="str">
        <f>IF('INTERACTION-PAGE'!D55="","",'INTERACTION-PAGE'!D55)</f>
        <v/>
      </c>
      <c r="E55" s="92">
        <f>IF('INTERACTION-PAGE'!E55="","",'INTERACTION-PAGE'!E55)</f>
        <v>8</v>
      </c>
      <c r="F55" s="92">
        <f>IF('INTERACTION-PAGE'!F55="","",'INTERACTION-PAGE'!F55)</f>
        <v>11</v>
      </c>
      <c r="G55" s="92" t="str">
        <f>IF('INTERACTION-PAGE'!G55="","",'INTERACTION-PAGE'!G55)</f>
        <v/>
      </c>
      <c r="H55" s="92" t="str">
        <f>IF('INTERACTION-PAGE'!H55="","",'INTERACTION-PAGE'!H55)</f>
        <v/>
      </c>
      <c r="I55" s="92" t="str">
        <f>IF('INTERACTION-PAGE'!I55="","",'INTERACTION-PAGE'!I55)</f>
        <v/>
      </c>
      <c r="J55" s="92">
        <f>IF('INTERACTION-PAGE'!J55="","",'INTERACTION-PAGE'!J55)</f>
        <v>15</v>
      </c>
      <c r="K55" s="92">
        <f>IF('INTERACTION-PAGE'!K55="","",'INTERACTION-PAGE'!K55)</f>
        <v>10</v>
      </c>
      <c r="L55" s="92" t="str">
        <f>IF('INTERACTION-PAGE'!L55="","",'INTERACTION-PAGE'!L55)</f>
        <v/>
      </c>
      <c r="M55" s="92" t="str">
        <f>IF('INTERACTION-PAGE'!M55="","",'INTERACTION-PAGE'!M55)</f>
        <v/>
      </c>
      <c r="N55" s="92" t="str">
        <f>IF('INTERACTION-PAGE'!N55="","",'INTERACTION-PAGE'!N55)</f>
        <v/>
      </c>
      <c r="O55" s="92">
        <f>IF('INTERACTION-PAGE'!O55="","",'INTERACTION-PAGE'!O55)</f>
        <v>3</v>
      </c>
      <c r="P55" s="92">
        <f>IF('INTERACTION-PAGE'!P55="","",'INTERACTION-PAGE'!P55)</f>
        <v>2</v>
      </c>
      <c r="Q55" s="92">
        <f>IF('INTERACTION-PAGE'!Q55="","",'INTERACTION-PAGE'!Q55)</f>
        <v>11</v>
      </c>
      <c r="R55" s="92">
        <f>IF('INTERACTION-PAGE'!R55="","",'INTERACTION-PAGE'!R55)</f>
        <v>5</v>
      </c>
      <c r="S55" s="92" t="str">
        <f>IF('INTERACTION-PAGE'!S55="","",'INTERACTION-PAGE'!S55)</f>
        <v/>
      </c>
      <c r="T55" s="92">
        <f>IF('INTERACTION-PAGE'!T55="","",'INTERACTION-PAGE'!T55)</f>
        <v>2</v>
      </c>
      <c r="U55" s="92">
        <f>IF('INTERACTION-PAGE'!U55="","",'INTERACTION-PAGE'!U55)</f>
        <v>4</v>
      </c>
      <c r="V55" s="92">
        <f>IF('INTERACTION-PAGE'!V55="","",'INTERACTION-PAGE'!V55)</f>
        <v>9</v>
      </c>
      <c r="W55" s="92">
        <f>IF('INTERACTION-PAGE'!W55="","",'INTERACTION-PAGE'!W55)</f>
        <v>11</v>
      </c>
      <c r="X55" s="92" t="str">
        <f>IF('INTERACTION-PAGE'!X55="","",'INTERACTION-PAGE'!X55)</f>
        <v/>
      </c>
      <c r="Y55" s="167">
        <f t="shared" si="6"/>
        <v>60.66666667</v>
      </c>
      <c r="Z55" s="167">
        <f t="shared" ref="Z55:AD55" si="49">IF(OR( $B55="", $B55="AB", $B55="UR", $C55="", $C55="AB", $C55="UR", $D55="AB", $D55="UR"),"",(IF(OR(E$10&gt;0,J$10&gt;0,O$10&gt;0,T$10&gt;0),(Z$10*(IF(AND(E$10&gt;0), IF(OR(E55="", E55="AB",E55="UR"),0,E55),0) +IF(AND(J$10&gt;0), IF(OR(J55="",J55="AB",J55=""),0,J55),0)+IF(AND(O$10&gt;0), IF(OR(O55="", O55="AB",O55="UR"),0,O55),0)+IF(AND(T$10&gt;0), IF(OR(T55="",T55="AB",T55="UR"),0,T55),0))/(E$10+J$10+O$10+T$10))," ")))</f>
        <v>77.77777778</v>
      </c>
      <c r="AA55" s="167">
        <f t="shared" si="49"/>
        <v>69.23076923</v>
      </c>
      <c r="AB55" s="167">
        <f t="shared" si="49"/>
        <v>50</v>
      </c>
      <c r="AC55" s="167">
        <f t="shared" si="49"/>
        <v>45.71428571</v>
      </c>
      <c r="AD55" s="167" t="str">
        <f t="shared" si="49"/>
        <v> </v>
      </c>
      <c r="AE55" s="168">
        <f t="shared" si="5"/>
        <v>60.68070818</v>
      </c>
      <c r="AF55" s="29"/>
    </row>
    <row r="56" ht="15.0" customHeight="1">
      <c r="A56" s="79">
        <v>46.0</v>
      </c>
      <c r="B56" s="92" t="str">
        <f>IF('INTERACTION-PAGE'!B56="","",'INTERACTION-PAGE'!B56)</f>
        <v>MEB21062</v>
      </c>
      <c r="C56" s="92" t="str">
        <f>IF('INTERACTION-PAGE'!C56="","",'INTERACTION-PAGE'!C56)</f>
        <v>ARYAN KUMAR SINGH</v>
      </c>
      <c r="D56" s="92" t="str">
        <f>IF('INTERACTION-PAGE'!D56="","",'INTERACTION-PAGE'!D56)</f>
        <v/>
      </c>
      <c r="E56" s="92">
        <f>IF('INTERACTION-PAGE'!E56="","",'INTERACTION-PAGE'!E56)</f>
        <v>5</v>
      </c>
      <c r="F56" s="92">
        <f>IF('INTERACTION-PAGE'!F56="","",'INTERACTION-PAGE'!F56)</f>
        <v>6.5</v>
      </c>
      <c r="G56" s="92" t="str">
        <f>IF('INTERACTION-PAGE'!G56="","",'INTERACTION-PAGE'!G56)</f>
        <v/>
      </c>
      <c r="H56" s="92" t="str">
        <f>IF('INTERACTION-PAGE'!H56="","",'INTERACTION-PAGE'!H56)</f>
        <v/>
      </c>
      <c r="I56" s="92" t="str">
        <f>IF('INTERACTION-PAGE'!I56="","",'INTERACTION-PAGE'!I56)</f>
        <v/>
      </c>
      <c r="J56" s="92">
        <f>IF('INTERACTION-PAGE'!J56="","",'INTERACTION-PAGE'!J56)</f>
        <v>15</v>
      </c>
      <c r="K56" s="92">
        <f>IF('INTERACTION-PAGE'!K56="","",'INTERACTION-PAGE'!K56)</f>
        <v>10</v>
      </c>
      <c r="L56" s="92" t="str">
        <f>IF('INTERACTION-PAGE'!L56="","",'INTERACTION-PAGE'!L56)</f>
        <v/>
      </c>
      <c r="M56" s="92" t="str">
        <f>IF('INTERACTION-PAGE'!M56="","",'INTERACTION-PAGE'!M56)</f>
        <v/>
      </c>
      <c r="N56" s="92" t="str">
        <f>IF('INTERACTION-PAGE'!N56="","",'INTERACTION-PAGE'!N56)</f>
        <v/>
      </c>
      <c r="O56" s="92">
        <f>IF('INTERACTION-PAGE'!O56="","",'INTERACTION-PAGE'!O56)</f>
        <v>3</v>
      </c>
      <c r="P56" s="92">
        <f>IF('INTERACTION-PAGE'!P56="","",'INTERACTION-PAGE'!P56)</f>
        <v>2</v>
      </c>
      <c r="Q56" s="92">
        <f>IF('INTERACTION-PAGE'!Q56="","",'INTERACTION-PAGE'!Q56)</f>
        <v>12</v>
      </c>
      <c r="R56" s="92">
        <f>IF('INTERACTION-PAGE'!R56="","",'INTERACTION-PAGE'!R56)</f>
        <v>6</v>
      </c>
      <c r="S56" s="92" t="str">
        <f>IF('INTERACTION-PAGE'!S56="","",'INTERACTION-PAGE'!S56)</f>
        <v/>
      </c>
      <c r="T56" s="92">
        <f>IF('INTERACTION-PAGE'!T56="","",'INTERACTION-PAGE'!T56)</f>
        <v>1</v>
      </c>
      <c r="U56" s="92">
        <f>IF('INTERACTION-PAGE'!U56="","",'INTERACTION-PAGE'!U56)</f>
        <v>1</v>
      </c>
      <c r="V56" s="92">
        <f>IF('INTERACTION-PAGE'!V56="","",'INTERACTION-PAGE'!V56)</f>
        <v>2</v>
      </c>
      <c r="W56" s="92">
        <f>IF('INTERACTION-PAGE'!W56="","",'INTERACTION-PAGE'!W56)</f>
        <v>2.5</v>
      </c>
      <c r="X56" s="92" t="str">
        <f>IF('INTERACTION-PAGE'!X56="","",'INTERACTION-PAGE'!X56)</f>
        <v/>
      </c>
      <c r="Y56" s="167">
        <f t="shared" si="6"/>
        <v>44</v>
      </c>
      <c r="Z56" s="167">
        <f t="shared" ref="Z56:AD56" si="50">IF(OR( $B56="", $B56="AB", $B56="UR", $C56="", $C56="AB", $C56="UR", $D56="AB", $D56="UR"),"",(IF(OR(E$10&gt;0,J$10&gt;0,O$10&gt;0,T$10&gt;0),(Z$10*(IF(AND(E$10&gt;0), IF(OR(E56="", E56="AB",E56="UR"),0,E56),0) +IF(AND(J$10&gt;0), IF(OR(J56="",J56="AB",J56=""),0,J56),0)+IF(AND(O$10&gt;0), IF(OR(O56="", O56="AB",O56="UR"),0,O56),0)+IF(AND(T$10&gt;0), IF(OR(T56="",T56="AB",T56="UR"),0,T56),0))/(E$10+J$10+O$10+T$10))," ")))</f>
        <v>66.66666667</v>
      </c>
      <c r="AA56" s="167">
        <f t="shared" si="50"/>
        <v>50</v>
      </c>
      <c r="AB56" s="167">
        <f t="shared" si="50"/>
        <v>35</v>
      </c>
      <c r="AC56" s="167">
        <f t="shared" si="50"/>
        <v>24.28571429</v>
      </c>
      <c r="AD56" s="167" t="str">
        <f t="shared" si="50"/>
        <v> </v>
      </c>
      <c r="AE56" s="168">
        <f t="shared" si="5"/>
        <v>43.98809524</v>
      </c>
      <c r="AF56" s="29"/>
    </row>
    <row r="57" ht="15.0" customHeight="1">
      <c r="A57" s="65">
        <v>47.0</v>
      </c>
      <c r="B57" s="92" t="str">
        <f>IF('INTERACTION-PAGE'!B57="","",'INTERACTION-PAGE'!B57)</f>
        <v>MEB21063</v>
      </c>
      <c r="C57" s="92" t="str">
        <f>IF('INTERACTION-PAGE'!C57="","",'INTERACTION-PAGE'!C57)</f>
        <v>PRASHANTI  ROY</v>
      </c>
      <c r="D57" s="92" t="str">
        <f>IF('INTERACTION-PAGE'!D57="","",'INTERACTION-PAGE'!D57)</f>
        <v/>
      </c>
      <c r="E57" s="92">
        <f>IF('INTERACTION-PAGE'!E57="","",'INTERACTION-PAGE'!E57)</f>
        <v>7</v>
      </c>
      <c r="F57" s="92">
        <f>IF('INTERACTION-PAGE'!F57="","",'INTERACTION-PAGE'!F57)</f>
        <v>11.5</v>
      </c>
      <c r="G57" s="92" t="str">
        <f>IF('INTERACTION-PAGE'!G57="","",'INTERACTION-PAGE'!G57)</f>
        <v/>
      </c>
      <c r="H57" s="92" t="str">
        <f>IF('INTERACTION-PAGE'!H57="","",'INTERACTION-PAGE'!H57)</f>
        <v/>
      </c>
      <c r="I57" s="92" t="str">
        <f>IF('INTERACTION-PAGE'!I57="","",'INTERACTION-PAGE'!I57)</f>
        <v/>
      </c>
      <c r="J57" s="92">
        <f>IF('INTERACTION-PAGE'!J57="","",'INTERACTION-PAGE'!J57)</f>
        <v>9</v>
      </c>
      <c r="K57" s="92">
        <f>IF('INTERACTION-PAGE'!K57="","",'INTERACTION-PAGE'!K57)</f>
        <v>6</v>
      </c>
      <c r="L57" s="92" t="str">
        <f>IF('INTERACTION-PAGE'!L57="","",'INTERACTION-PAGE'!L57)</f>
        <v/>
      </c>
      <c r="M57" s="92" t="str">
        <f>IF('INTERACTION-PAGE'!M57="","",'INTERACTION-PAGE'!M57)</f>
        <v/>
      </c>
      <c r="N57" s="92" t="str">
        <f>IF('INTERACTION-PAGE'!N57="","",'INTERACTION-PAGE'!N57)</f>
        <v/>
      </c>
      <c r="O57" s="92">
        <f>IF('INTERACTION-PAGE'!O57="","",'INTERACTION-PAGE'!O57)</f>
        <v>3</v>
      </c>
      <c r="P57" s="92">
        <f>IF('INTERACTION-PAGE'!P57="","",'INTERACTION-PAGE'!P57)</f>
        <v>2</v>
      </c>
      <c r="Q57" s="92">
        <f>IF('INTERACTION-PAGE'!Q57="","",'INTERACTION-PAGE'!Q57)</f>
        <v>8</v>
      </c>
      <c r="R57" s="92">
        <f>IF('INTERACTION-PAGE'!R57="","",'INTERACTION-PAGE'!R57)</f>
        <v>4</v>
      </c>
      <c r="S57" s="92" t="str">
        <f>IF('INTERACTION-PAGE'!S57="","",'INTERACTION-PAGE'!S57)</f>
        <v/>
      </c>
      <c r="T57" s="92">
        <f>IF('INTERACTION-PAGE'!T57="","",'INTERACTION-PAGE'!T57)</f>
        <v>1</v>
      </c>
      <c r="U57" s="92">
        <f>IF('INTERACTION-PAGE'!U57="","",'INTERACTION-PAGE'!U57)</f>
        <v>2</v>
      </c>
      <c r="V57" s="92">
        <f>IF('INTERACTION-PAGE'!V57="","",'INTERACTION-PAGE'!V57)</f>
        <v>3</v>
      </c>
      <c r="W57" s="92">
        <f>IF('INTERACTION-PAGE'!W57="","",'INTERACTION-PAGE'!W57)</f>
        <v>4</v>
      </c>
      <c r="X57" s="92" t="str">
        <f>IF('INTERACTION-PAGE'!X57="","",'INTERACTION-PAGE'!X57)</f>
        <v/>
      </c>
      <c r="Y57" s="167">
        <f t="shared" si="6"/>
        <v>40.33333333</v>
      </c>
      <c r="Z57" s="167">
        <f t="shared" ref="Z57:AD57" si="51">IF(OR( $B57="", $B57="AB", $B57="UR", $C57="", $C57="AB", $C57="UR", $D57="AB", $D57="UR"),"",(IF(OR(E$10&gt;0,J$10&gt;0,O$10&gt;0,T$10&gt;0),(Z$10*(IF(AND(E$10&gt;0), IF(OR(E57="", E57="AB",E57="UR"),0,E57),0) +IF(AND(J$10&gt;0), IF(OR(J57="",J57="AB",J57=""),0,J57),0)+IF(AND(O$10&gt;0), IF(OR(O57="", O57="AB",O57="UR"),0,O57),0)+IF(AND(T$10&gt;0), IF(OR(T57="",T57="AB",T57="UR"),0,T57),0))/(E$10+J$10+O$10+T$10))," ")))</f>
        <v>55.55555556</v>
      </c>
      <c r="AA57" s="167">
        <f t="shared" si="51"/>
        <v>55.12820513</v>
      </c>
      <c r="AB57" s="167">
        <f t="shared" si="51"/>
        <v>27.5</v>
      </c>
      <c r="AC57" s="167">
        <f t="shared" si="51"/>
        <v>22.85714286</v>
      </c>
      <c r="AD57" s="167" t="str">
        <f t="shared" si="51"/>
        <v> </v>
      </c>
      <c r="AE57" s="168">
        <f t="shared" si="5"/>
        <v>40.26022589</v>
      </c>
      <c r="AF57" s="29"/>
    </row>
    <row r="58" ht="15.0" customHeight="1">
      <c r="A58" s="79">
        <v>48.0</v>
      </c>
      <c r="B58" s="92" t="str">
        <f>IF('INTERACTION-PAGE'!B58="","",'INTERACTION-PAGE'!B58)</f>
        <v>MEB21065</v>
      </c>
      <c r="C58" s="92" t="str">
        <f>IF('INTERACTION-PAGE'!C58="","",'INTERACTION-PAGE'!C58)</f>
        <v>RAJKAMAL  GHOSLIYA</v>
      </c>
      <c r="D58" s="92" t="str">
        <f>IF('INTERACTION-PAGE'!D58="","",'INTERACTION-PAGE'!D58)</f>
        <v/>
      </c>
      <c r="E58" s="92">
        <f>IF('INTERACTION-PAGE'!E58="","",'INTERACTION-PAGE'!E58)</f>
        <v>6</v>
      </c>
      <c r="F58" s="92">
        <f>IF('INTERACTION-PAGE'!F58="","",'INTERACTION-PAGE'!F58)</f>
        <v>9.5</v>
      </c>
      <c r="G58" s="92" t="str">
        <f>IF('INTERACTION-PAGE'!G58="","",'INTERACTION-PAGE'!G58)</f>
        <v/>
      </c>
      <c r="H58" s="92" t="str">
        <f>IF('INTERACTION-PAGE'!H58="","",'INTERACTION-PAGE'!H58)</f>
        <v/>
      </c>
      <c r="I58" s="92" t="str">
        <f>IF('INTERACTION-PAGE'!I58="","",'INTERACTION-PAGE'!I58)</f>
        <v/>
      </c>
      <c r="J58" s="92">
        <f>IF('INTERACTION-PAGE'!J58="","",'INTERACTION-PAGE'!J58)</f>
        <v>11</v>
      </c>
      <c r="K58" s="92">
        <f>IF('INTERACTION-PAGE'!K58="","",'INTERACTION-PAGE'!K58)</f>
        <v>8</v>
      </c>
      <c r="L58" s="92" t="str">
        <f>IF('INTERACTION-PAGE'!L58="","",'INTERACTION-PAGE'!L58)</f>
        <v/>
      </c>
      <c r="M58" s="92" t="str">
        <f>IF('INTERACTION-PAGE'!M58="","",'INTERACTION-PAGE'!M58)</f>
        <v/>
      </c>
      <c r="N58" s="92" t="str">
        <f>IF('INTERACTION-PAGE'!N58="","",'INTERACTION-PAGE'!N58)</f>
        <v/>
      </c>
      <c r="O58" s="92">
        <f>IF('INTERACTION-PAGE'!O58="","",'INTERACTION-PAGE'!O58)</f>
        <v>3</v>
      </c>
      <c r="P58" s="92">
        <f>IF('INTERACTION-PAGE'!P58="","",'INTERACTION-PAGE'!P58)</f>
        <v>2</v>
      </c>
      <c r="Q58" s="92">
        <f>IF('INTERACTION-PAGE'!Q58="","",'INTERACTION-PAGE'!Q58)</f>
        <v>10</v>
      </c>
      <c r="R58" s="92">
        <f>IF('INTERACTION-PAGE'!R58="","",'INTERACTION-PAGE'!R58)</f>
        <v>5</v>
      </c>
      <c r="S58" s="92" t="str">
        <f>IF('INTERACTION-PAGE'!S58="","",'INTERACTION-PAGE'!S58)</f>
        <v/>
      </c>
      <c r="T58" s="92">
        <f>IF('INTERACTION-PAGE'!T58="","",'INTERACTION-PAGE'!T58)</f>
        <v>3</v>
      </c>
      <c r="U58" s="92">
        <f>IF('INTERACTION-PAGE'!U58="","",'INTERACTION-PAGE'!U58)</f>
        <v>5</v>
      </c>
      <c r="V58" s="92">
        <f>IF('INTERACTION-PAGE'!V58="","",'INTERACTION-PAGE'!V58)</f>
        <v>10</v>
      </c>
      <c r="W58" s="92">
        <f>IF('INTERACTION-PAGE'!W58="","",'INTERACTION-PAGE'!W58)</f>
        <v>12.5</v>
      </c>
      <c r="X58" s="92" t="str">
        <f>IF('INTERACTION-PAGE'!X58="","",'INTERACTION-PAGE'!X58)</f>
        <v/>
      </c>
      <c r="Y58" s="167">
        <f t="shared" si="6"/>
        <v>56.66666667</v>
      </c>
      <c r="Z58" s="167">
        <f t="shared" ref="Z58:AD58" si="52">IF(OR( $B58="", $B58="AB", $B58="UR", $C58="", $C58="AB", $C58="UR", $D58="AB", $D58="UR"),"",(IF(OR(E$10&gt;0,J$10&gt;0,O$10&gt;0,T$10&gt;0),(Z$10*(IF(AND(E$10&gt;0), IF(OR(E58="", E58="AB",E58="UR"),0,E58),0) +IF(AND(J$10&gt;0), IF(OR(J58="",J58="AB",J58=""),0,J58),0)+IF(AND(O$10&gt;0), IF(OR(O58="", O58="AB",O58="UR"),0,O58),0)+IF(AND(T$10&gt;0), IF(OR(T58="",T58="AB",T58="UR"),0,T58),0))/(E$10+J$10+O$10+T$10))," ")))</f>
        <v>63.88888889</v>
      </c>
      <c r="AA58" s="167">
        <f t="shared" si="52"/>
        <v>62.82051282</v>
      </c>
      <c r="AB58" s="167">
        <f t="shared" si="52"/>
        <v>50</v>
      </c>
      <c r="AC58" s="167">
        <f t="shared" si="52"/>
        <v>50</v>
      </c>
      <c r="AD58" s="167" t="str">
        <f t="shared" si="52"/>
        <v> </v>
      </c>
      <c r="AE58" s="168">
        <f t="shared" si="5"/>
        <v>56.67735043</v>
      </c>
      <c r="AF58" s="29"/>
    </row>
    <row r="59" ht="15.0" customHeight="1">
      <c r="A59" s="65">
        <v>49.0</v>
      </c>
      <c r="B59" s="92" t="str">
        <f>IF('INTERACTION-PAGE'!B59="","",'INTERACTION-PAGE'!B59)</f>
        <v>MEB21066</v>
      </c>
      <c r="C59" s="92" t="str">
        <f>IF('INTERACTION-PAGE'!C59="","",'INTERACTION-PAGE'!C59)</f>
        <v>HIMANJIT PATOWARY </v>
      </c>
      <c r="D59" s="92" t="str">
        <f>IF('INTERACTION-PAGE'!D59="","",'INTERACTION-PAGE'!D59)</f>
        <v/>
      </c>
      <c r="E59" s="92">
        <f>IF('INTERACTION-PAGE'!E59="","",'INTERACTION-PAGE'!E59)</f>
        <v>6</v>
      </c>
      <c r="F59" s="92">
        <f>IF('INTERACTION-PAGE'!F59="","",'INTERACTION-PAGE'!F59)</f>
        <v>9.5</v>
      </c>
      <c r="G59" s="92" t="str">
        <f>IF('INTERACTION-PAGE'!G59="","",'INTERACTION-PAGE'!G59)</f>
        <v/>
      </c>
      <c r="H59" s="92" t="str">
        <f>IF('INTERACTION-PAGE'!H59="","",'INTERACTION-PAGE'!H59)</f>
        <v/>
      </c>
      <c r="I59" s="92" t="str">
        <f>IF('INTERACTION-PAGE'!I59="","",'INTERACTION-PAGE'!I59)</f>
        <v/>
      </c>
      <c r="J59" s="92">
        <f>IF('INTERACTION-PAGE'!J59="","",'INTERACTION-PAGE'!J59)</f>
        <v>9</v>
      </c>
      <c r="K59" s="92">
        <f>IF('INTERACTION-PAGE'!K59="","",'INTERACTION-PAGE'!K59)</f>
        <v>6</v>
      </c>
      <c r="L59" s="92" t="str">
        <f>IF('INTERACTION-PAGE'!L59="","",'INTERACTION-PAGE'!L59)</f>
        <v/>
      </c>
      <c r="M59" s="92" t="str">
        <f>IF('INTERACTION-PAGE'!M59="","",'INTERACTION-PAGE'!M59)</f>
        <v/>
      </c>
      <c r="N59" s="92" t="str">
        <f>IF('INTERACTION-PAGE'!N59="","",'INTERACTION-PAGE'!N59)</f>
        <v/>
      </c>
      <c r="O59" s="92">
        <f>IF('INTERACTION-PAGE'!O59="","",'INTERACTION-PAGE'!O59)</f>
        <v>2</v>
      </c>
      <c r="P59" s="92">
        <f>IF('INTERACTION-PAGE'!P59="","",'INTERACTION-PAGE'!P59)</f>
        <v>2</v>
      </c>
      <c r="Q59" s="92">
        <f>IF('INTERACTION-PAGE'!Q59="","",'INTERACTION-PAGE'!Q59)</f>
        <v>8</v>
      </c>
      <c r="R59" s="92">
        <f>IF('INTERACTION-PAGE'!R59="","",'INTERACTION-PAGE'!R59)</f>
        <v>4</v>
      </c>
      <c r="S59" s="92" t="str">
        <f>IF('INTERACTION-PAGE'!S59="","",'INTERACTION-PAGE'!S59)</f>
        <v/>
      </c>
      <c r="T59" s="92">
        <f>IF('INTERACTION-PAGE'!T59="","",'INTERACTION-PAGE'!T59)</f>
        <v>1</v>
      </c>
      <c r="U59" s="92">
        <f>IF('INTERACTION-PAGE'!U59="","",'INTERACTION-PAGE'!U59)</f>
        <v>2</v>
      </c>
      <c r="V59" s="92">
        <f>IF('INTERACTION-PAGE'!V59="","",'INTERACTION-PAGE'!V59)</f>
        <v>4</v>
      </c>
      <c r="W59" s="92">
        <f>IF('INTERACTION-PAGE'!W59="","",'INTERACTION-PAGE'!W59)</f>
        <v>3.5</v>
      </c>
      <c r="X59" s="92" t="str">
        <f>IF('INTERACTION-PAGE'!X59="","",'INTERACTION-PAGE'!X59)</f>
        <v/>
      </c>
      <c r="Y59" s="167">
        <f t="shared" si="6"/>
        <v>38</v>
      </c>
      <c r="Z59" s="167">
        <f t="shared" ref="Z59:AD59" si="53">IF(OR( $B59="", $B59="AB", $B59="UR", $C59="", $C59="AB", $C59="UR", $D59="AB", $D59="UR"),"",(IF(OR(E$10&gt;0,J$10&gt;0,O$10&gt;0,T$10&gt;0),(Z$10*(IF(AND(E$10&gt;0), IF(OR(E59="", E59="AB",E59="UR"),0,E59),0) +IF(AND(J$10&gt;0), IF(OR(J59="",J59="AB",J59=""),0,J59),0)+IF(AND(O$10&gt;0), IF(OR(O59="", O59="AB",O59="UR"),0,O59),0)+IF(AND(T$10&gt;0), IF(OR(T59="",T59="AB",T59="UR"),0,T59),0))/(E$10+J$10+O$10+T$10))," ")))</f>
        <v>50</v>
      </c>
      <c r="AA59" s="167">
        <f t="shared" si="53"/>
        <v>50</v>
      </c>
      <c r="AB59" s="167">
        <f t="shared" si="53"/>
        <v>30</v>
      </c>
      <c r="AC59" s="167">
        <f t="shared" si="53"/>
        <v>21.42857143</v>
      </c>
      <c r="AD59" s="167" t="str">
        <f t="shared" si="53"/>
        <v> </v>
      </c>
      <c r="AE59" s="168">
        <f t="shared" si="5"/>
        <v>37.85714286</v>
      </c>
      <c r="AF59" s="29"/>
    </row>
    <row r="60" ht="15.0" customHeight="1">
      <c r="A60" s="79">
        <v>50.0</v>
      </c>
      <c r="B60" s="92" t="str">
        <f>IF('INTERACTION-PAGE'!B60="","",'INTERACTION-PAGE'!B60)</f>
        <v>MEB21067</v>
      </c>
      <c r="C60" s="92" t="str">
        <f>IF('INTERACTION-PAGE'!C60="","",'INTERACTION-PAGE'!C60)</f>
        <v>BIKEE  WARY</v>
      </c>
      <c r="D60" s="92" t="str">
        <f>IF('INTERACTION-PAGE'!D60="","",'INTERACTION-PAGE'!D60)</f>
        <v/>
      </c>
      <c r="E60" s="92">
        <f>IF('INTERACTION-PAGE'!E60="","",'INTERACTION-PAGE'!E60)</f>
        <v>7</v>
      </c>
      <c r="F60" s="92">
        <f>IF('INTERACTION-PAGE'!F60="","",'INTERACTION-PAGE'!F60)</f>
        <v>10</v>
      </c>
      <c r="G60" s="92" t="str">
        <f>IF('INTERACTION-PAGE'!G60="","",'INTERACTION-PAGE'!G60)</f>
        <v/>
      </c>
      <c r="H60" s="92" t="str">
        <f>IF('INTERACTION-PAGE'!H60="","",'INTERACTION-PAGE'!H60)</f>
        <v/>
      </c>
      <c r="I60" s="92" t="str">
        <f>IF('INTERACTION-PAGE'!I60="","",'INTERACTION-PAGE'!I60)</f>
        <v/>
      </c>
      <c r="J60" s="92">
        <f>IF('INTERACTION-PAGE'!J60="","",'INTERACTION-PAGE'!J60)</f>
        <v>15</v>
      </c>
      <c r="K60" s="92">
        <f>IF('INTERACTION-PAGE'!K60="","",'INTERACTION-PAGE'!K60)</f>
        <v>10</v>
      </c>
      <c r="L60" s="92" t="str">
        <f>IF('INTERACTION-PAGE'!L60="","",'INTERACTION-PAGE'!L60)</f>
        <v/>
      </c>
      <c r="M60" s="92" t="str">
        <f>IF('INTERACTION-PAGE'!M60="","",'INTERACTION-PAGE'!M60)</f>
        <v/>
      </c>
      <c r="N60" s="92" t="str">
        <f>IF('INTERACTION-PAGE'!N60="","",'INTERACTION-PAGE'!N60)</f>
        <v/>
      </c>
      <c r="O60" s="92">
        <f>IF('INTERACTION-PAGE'!O60="","",'INTERACTION-PAGE'!O60)</f>
        <v>3</v>
      </c>
      <c r="P60" s="92">
        <f>IF('INTERACTION-PAGE'!P60="","",'INTERACTION-PAGE'!P60)</f>
        <v>2</v>
      </c>
      <c r="Q60" s="92">
        <f>IF('INTERACTION-PAGE'!Q60="","",'INTERACTION-PAGE'!Q60)</f>
        <v>9</v>
      </c>
      <c r="R60" s="92">
        <f>IF('INTERACTION-PAGE'!R60="","",'INTERACTION-PAGE'!R60)</f>
        <v>5</v>
      </c>
      <c r="S60" s="92" t="str">
        <f>IF('INTERACTION-PAGE'!S60="","",'INTERACTION-PAGE'!S60)</f>
        <v/>
      </c>
      <c r="T60" s="92">
        <f>IF('INTERACTION-PAGE'!T60="","",'INTERACTION-PAGE'!T60)</f>
        <v>1</v>
      </c>
      <c r="U60" s="92">
        <f>IF('INTERACTION-PAGE'!U60="","",'INTERACTION-PAGE'!U60)</f>
        <v>2</v>
      </c>
      <c r="V60" s="92">
        <f>IF('INTERACTION-PAGE'!V60="","",'INTERACTION-PAGE'!V60)</f>
        <v>3</v>
      </c>
      <c r="W60" s="92">
        <f>IF('INTERACTION-PAGE'!W60="","",'INTERACTION-PAGE'!W60)</f>
        <v>3</v>
      </c>
      <c r="X60" s="92" t="str">
        <f>IF('INTERACTION-PAGE'!X60="","",'INTERACTION-PAGE'!X60)</f>
        <v/>
      </c>
      <c r="Y60" s="167">
        <f t="shared" si="6"/>
        <v>46.66666667</v>
      </c>
      <c r="Z60" s="167">
        <f t="shared" ref="Z60:AD60" si="54">IF(OR( $B60="", $B60="AB", $B60="UR", $C60="", $C60="AB", $C60="UR", $D60="AB", $D60="UR"),"",(IF(OR(E$10&gt;0,J$10&gt;0,O$10&gt;0,T$10&gt;0),(Z$10*(IF(AND(E$10&gt;0), IF(OR(E60="", E60="AB",E60="UR"),0,E60),0) +IF(AND(J$10&gt;0), IF(OR(J60="",J60="AB",J60=""),0,J60),0)+IF(AND(O$10&gt;0), IF(OR(O60="", O60="AB",O60="UR"),0,O60),0)+IF(AND(T$10&gt;0), IF(OR(T60="",T60="AB",T60="UR"),0,T60),0))/(E$10+J$10+O$10+T$10))," ")))</f>
        <v>72.22222222</v>
      </c>
      <c r="AA60" s="167">
        <f t="shared" si="54"/>
        <v>61.53846154</v>
      </c>
      <c r="AB60" s="167">
        <f t="shared" si="54"/>
        <v>30</v>
      </c>
      <c r="AC60" s="167">
        <f t="shared" si="54"/>
        <v>22.85714286</v>
      </c>
      <c r="AD60" s="167" t="str">
        <f t="shared" si="54"/>
        <v> </v>
      </c>
      <c r="AE60" s="168">
        <f t="shared" si="5"/>
        <v>46.65445665</v>
      </c>
      <c r="AF60" s="29"/>
    </row>
    <row r="61" ht="15.0" customHeight="1">
      <c r="A61" s="65">
        <v>51.0</v>
      </c>
      <c r="B61" s="92" t="str">
        <f>IF('INTERACTION-PAGE'!B61="","",'INTERACTION-PAGE'!B61)</f>
        <v>MEB21068</v>
      </c>
      <c r="C61" s="92" t="str">
        <f>IF('INTERACTION-PAGE'!C61="","",'INTERACTION-PAGE'!C61)</f>
        <v>MOHIT  KUMAR</v>
      </c>
      <c r="D61" s="92" t="str">
        <f>IF('INTERACTION-PAGE'!D61="","",'INTERACTION-PAGE'!D61)</f>
        <v/>
      </c>
      <c r="E61" s="92">
        <f>IF('INTERACTION-PAGE'!E61="","",'INTERACTION-PAGE'!E61)</f>
        <v>7</v>
      </c>
      <c r="F61" s="92">
        <f>IF('INTERACTION-PAGE'!F61="","",'INTERACTION-PAGE'!F61)</f>
        <v>11.5</v>
      </c>
      <c r="G61" s="92" t="str">
        <f>IF('INTERACTION-PAGE'!G61="","",'INTERACTION-PAGE'!G61)</f>
        <v/>
      </c>
      <c r="H61" s="92" t="str">
        <f>IF('INTERACTION-PAGE'!H61="","",'INTERACTION-PAGE'!H61)</f>
        <v/>
      </c>
      <c r="I61" s="92" t="str">
        <f>IF('INTERACTION-PAGE'!I61="","",'INTERACTION-PAGE'!I61)</f>
        <v/>
      </c>
      <c r="J61" s="92">
        <f>IF('INTERACTION-PAGE'!J61="","",'INTERACTION-PAGE'!J61)</f>
        <v>14</v>
      </c>
      <c r="K61" s="92">
        <f>IF('INTERACTION-PAGE'!K61="","",'INTERACTION-PAGE'!K61)</f>
        <v>9</v>
      </c>
      <c r="L61" s="92" t="str">
        <f>IF('INTERACTION-PAGE'!L61="","",'INTERACTION-PAGE'!L61)</f>
        <v/>
      </c>
      <c r="M61" s="92" t="str">
        <f>IF('INTERACTION-PAGE'!M61="","",'INTERACTION-PAGE'!M61)</f>
        <v/>
      </c>
      <c r="N61" s="92" t="str">
        <f>IF('INTERACTION-PAGE'!N61="","",'INTERACTION-PAGE'!N61)</f>
        <v/>
      </c>
      <c r="O61" s="92">
        <f>IF('INTERACTION-PAGE'!O61="","",'INTERACTION-PAGE'!O61)</f>
        <v>2</v>
      </c>
      <c r="P61" s="92">
        <f>IF('INTERACTION-PAGE'!P61="","",'INTERACTION-PAGE'!P61)</f>
        <v>2</v>
      </c>
      <c r="Q61" s="92">
        <f>IF('INTERACTION-PAGE'!Q61="","",'INTERACTION-PAGE'!Q61)</f>
        <v>8.5</v>
      </c>
      <c r="R61" s="92">
        <f>IF('INTERACTION-PAGE'!R61="","",'INTERACTION-PAGE'!R61)</f>
        <v>4</v>
      </c>
      <c r="S61" s="92" t="str">
        <f>IF('INTERACTION-PAGE'!S61="","",'INTERACTION-PAGE'!S61)</f>
        <v/>
      </c>
      <c r="T61" s="92">
        <f>IF('INTERACTION-PAGE'!T61="","",'INTERACTION-PAGE'!T61)</f>
        <v>1</v>
      </c>
      <c r="U61" s="92">
        <f>IF('INTERACTION-PAGE'!U61="","",'INTERACTION-PAGE'!U61)</f>
        <v>2</v>
      </c>
      <c r="V61" s="92">
        <f>IF('INTERACTION-PAGE'!V61="","",'INTERACTION-PAGE'!V61)</f>
        <v>4</v>
      </c>
      <c r="W61" s="92">
        <f>IF('INTERACTION-PAGE'!W61="","",'INTERACTION-PAGE'!W61)</f>
        <v>6</v>
      </c>
      <c r="X61" s="92" t="str">
        <f>IF('INTERACTION-PAGE'!X61="","",'INTERACTION-PAGE'!X61)</f>
        <v/>
      </c>
      <c r="Y61" s="167">
        <f t="shared" si="6"/>
        <v>47.33333333</v>
      </c>
      <c r="Z61" s="167">
        <f t="shared" ref="Z61:AD61" si="55">IF(OR( $B61="", $B61="AB", $B61="UR", $C61="", $C61="AB", $C61="UR", $D61="AB", $D61="UR"),"",(IF(OR(E$10&gt;0,J$10&gt;0,O$10&gt;0,T$10&gt;0),(Z$10*(IF(AND(E$10&gt;0), IF(OR(E61="", E61="AB",E61="UR"),0,E61),0) +IF(AND(J$10&gt;0), IF(OR(J61="",J61="AB",J61=""),0,J61),0)+IF(AND(O$10&gt;0), IF(OR(O61="", O61="AB",O61="UR"),0,O61),0)+IF(AND(T$10&gt;0), IF(OR(T61="",T61="AB",T61="UR"),0,T61),0))/(E$10+J$10+O$10+T$10))," ")))</f>
        <v>66.66666667</v>
      </c>
      <c r="AA61" s="167">
        <f t="shared" si="55"/>
        <v>62.82051282</v>
      </c>
      <c r="AB61" s="167">
        <f t="shared" si="55"/>
        <v>31.25</v>
      </c>
      <c r="AC61" s="167">
        <f t="shared" si="55"/>
        <v>28.57142857</v>
      </c>
      <c r="AD61" s="167" t="str">
        <f t="shared" si="55"/>
        <v> </v>
      </c>
      <c r="AE61" s="168">
        <f t="shared" si="5"/>
        <v>47.32715201</v>
      </c>
      <c r="AF61" s="29"/>
    </row>
    <row r="62" ht="15.0" customHeight="1">
      <c r="A62" s="79">
        <v>52.0</v>
      </c>
      <c r="B62" s="92" t="str">
        <f>IF('INTERACTION-PAGE'!B62="","",'INTERACTION-PAGE'!B62)</f>
        <v>MEB21069</v>
      </c>
      <c r="C62" s="92" t="str">
        <f>IF('INTERACTION-PAGE'!C62="","",'INTERACTION-PAGE'!C62)</f>
        <v>SUROJIT  HAZARIKA </v>
      </c>
      <c r="D62" s="92" t="str">
        <f>IF('INTERACTION-PAGE'!D62="","",'INTERACTION-PAGE'!D62)</f>
        <v/>
      </c>
      <c r="E62" s="92">
        <f>IF('INTERACTION-PAGE'!E62="","",'INTERACTION-PAGE'!E62)</f>
        <v>4</v>
      </c>
      <c r="F62" s="92">
        <f>IF('INTERACTION-PAGE'!F62="","",'INTERACTION-PAGE'!F62)</f>
        <v>5</v>
      </c>
      <c r="G62" s="92" t="str">
        <f>IF('INTERACTION-PAGE'!G62="","",'INTERACTION-PAGE'!G62)</f>
        <v/>
      </c>
      <c r="H62" s="92" t="str">
        <f>IF('INTERACTION-PAGE'!H62="","",'INTERACTION-PAGE'!H62)</f>
        <v/>
      </c>
      <c r="I62" s="92" t="str">
        <f>IF('INTERACTION-PAGE'!I62="","",'INTERACTION-PAGE'!I62)</f>
        <v/>
      </c>
      <c r="J62" s="92">
        <f>IF('INTERACTION-PAGE'!J62="","",'INTERACTION-PAGE'!J62)</f>
        <v>15</v>
      </c>
      <c r="K62" s="92">
        <f>IF('INTERACTION-PAGE'!K62="","",'INTERACTION-PAGE'!K62)</f>
        <v>10</v>
      </c>
      <c r="L62" s="92" t="str">
        <f>IF('INTERACTION-PAGE'!L62="","",'INTERACTION-PAGE'!L62)</f>
        <v/>
      </c>
      <c r="M62" s="92" t="str">
        <f>IF('INTERACTION-PAGE'!M62="","",'INTERACTION-PAGE'!M62)</f>
        <v/>
      </c>
      <c r="N62" s="92" t="str">
        <f>IF('INTERACTION-PAGE'!N62="","",'INTERACTION-PAGE'!N62)</f>
        <v/>
      </c>
      <c r="O62" s="92">
        <f>IF('INTERACTION-PAGE'!O62="","",'INTERACTION-PAGE'!O62)</f>
        <v>1</v>
      </c>
      <c r="P62" s="92">
        <f>IF('INTERACTION-PAGE'!P62="","",'INTERACTION-PAGE'!P62)</f>
        <v>1</v>
      </c>
      <c r="Q62" s="92">
        <f>IF('INTERACTION-PAGE'!Q62="","",'INTERACTION-PAGE'!Q62)</f>
        <v>4.5</v>
      </c>
      <c r="R62" s="92">
        <f>IF('INTERACTION-PAGE'!R62="","",'INTERACTION-PAGE'!R62)</f>
        <v>2</v>
      </c>
      <c r="S62" s="92" t="str">
        <f>IF('INTERACTION-PAGE'!S62="","",'INTERACTION-PAGE'!S62)</f>
        <v/>
      </c>
      <c r="T62" s="92">
        <f>IF('INTERACTION-PAGE'!T62="","",'INTERACTION-PAGE'!T62)</f>
        <v>0</v>
      </c>
      <c r="U62" s="92">
        <f>IF('INTERACTION-PAGE'!U62="","",'INTERACTION-PAGE'!U62)</f>
        <v>1</v>
      </c>
      <c r="V62" s="92">
        <f>IF('INTERACTION-PAGE'!V62="","",'INTERACTION-PAGE'!V62)</f>
        <v>1</v>
      </c>
      <c r="W62" s="92">
        <f>IF('INTERACTION-PAGE'!W62="","",'INTERACTION-PAGE'!W62)</f>
        <v>1</v>
      </c>
      <c r="X62" s="92" t="str">
        <f>IF('INTERACTION-PAGE'!X62="","",'INTERACTION-PAGE'!X62)</f>
        <v/>
      </c>
      <c r="Y62" s="167">
        <f t="shared" si="6"/>
        <v>30.33333333</v>
      </c>
      <c r="Z62" s="167">
        <f t="shared" ref="Z62:AD62" si="56">IF(OR( $B62="", $B62="AB", $B62="UR", $C62="", $C62="AB", $C62="UR", $D62="AB", $D62="UR"),"",(IF(OR(E$10&gt;0,J$10&gt;0,O$10&gt;0,T$10&gt;0),(Z$10*(IF(AND(E$10&gt;0), IF(OR(E62="", E62="AB",E62="UR"),0,E62),0) +IF(AND(J$10&gt;0), IF(OR(J62="",J62="AB",J62=""),0,J62),0)+IF(AND(O$10&gt;0), IF(OR(O62="", O62="AB",O62="UR"),0,O62),0)+IF(AND(T$10&gt;0), IF(OR(T62="",T62="AB",T62="UR"),0,T62),0))/(E$10+J$10+O$10+T$10))," ")))</f>
        <v>55.55555556</v>
      </c>
      <c r="AA62" s="167">
        <f t="shared" si="56"/>
        <v>43.58974359</v>
      </c>
      <c r="AB62" s="167">
        <f t="shared" si="56"/>
        <v>13.75</v>
      </c>
      <c r="AC62" s="167">
        <f t="shared" si="56"/>
        <v>8.571428571</v>
      </c>
      <c r="AD62" s="167" t="str">
        <f t="shared" si="56"/>
        <v> </v>
      </c>
      <c r="AE62" s="168">
        <f t="shared" si="5"/>
        <v>30.36668193</v>
      </c>
      <c r="AF62" s="29"/>
    </row>
    <row r="63" ht="15.0" customHeight="1">
      <c r="A63" s="65">
        <v>53.0</v>
      </c>
      <c r="B63" s="92" t="str">
        <f>IF('INTERACTION-PAGE'!B63="","",'INTERACTION-PAGE'!B63)</f>
        <v>MEB21070</v>
      </c>
      <c r="C63" s="92" t="str">
        <f>IF('INTERACTION-PAGE'!C63="","",'INTERACTION-PAGE'!C63)</f>
        <v>VELPULA THARUN </v>
      </c>
      <c r="D63" s="92" t="str">
        <f>IF('INTERACTION-PAGE'!D63="","",'INTERACTION-PAGE'!D63)</f>
        <v/>
      </c>
      <c r="E63" s="92">
        <f>IF('INTERACTION-PAGE'!E63="","",'INTERACTION-PAGE'!E63)</f>
        <v>3</v>
      </c>
      <c r="F63" s="92">
        <f>IF('INTERACTION-PAGE'!F63="","",'INTERACTION-PAGE'!F63)</f>
        <v>5</v>
      </c>
      <c r="G63" s="92" t="str">
        <f>IF('INTERACTION-PAGE'!G63="","",'INTERACTION-PAGE'!G63)</f>
        <v/>
      </c>
      <c r="H63" s="92" t="str">
        <f>IF('INTERACTION-PAGE'!H63="","",'INTERACTION-PAGE'!H63)</f>
        <v/>
      </c>
      <c r="I63" s="92" t="str">
        <f>IF('INTERACTION-PAGE'!I63="","",'INTERACTION-PAGE'!I63)</f>
        <v/>
      </c>
      <c r="J63" s="92">
        <f>IF('INTERACTION-PAGE'!J63="","",'INTERACTION-PAGE'!J63)</f>
        <v>13</v>
      </c>
      <c r="K63" s="92">
        <f>IF('INTERACTION-PAGE'!K63="","",'INTERACTION-PAGE'!K63)</f>
        <v>8</v>
      </c>
      <c r="L63" s="92" t="str">
        <f>IF('INTERACTION-PAGE'!L63="","",'INTERACTION-PAGE'!L63)</f>
        <v/>
      </c>
      <c r="M63" s="92" t="str">
        <f>IF('INTERACTION-PAGE'!M63="","",'INTERACTION-PAGE'!M63)</f>
        <v/>
      </c>
      <c r="N63" s="92" t="str">
        <f>IF('INTERACTION-PAGE'!N63="","",'INTERACTION-PAGE'!N63)</f>
        <v/>
      </c>
      <c r="O63" s="92">
        <f>IF('INTERACTION-PAGE'!O63="","",'INTERACTION-PAGE'!O63)</f>
        <v>2</v>
      </c>
      <c r="P63" s="92">
        <f>IF('INTERACTION-PAGE'!P63="","",'INTERACTION-PAGE'!P63)</f>
        <v>1</v>
      </c>
      <c r="Q63" s="92">
        <f>IF('INTERACTION-PAGE'!Q63="","",'INTERACTION-PAGE'!Q63)</f>
        <v>7.5</v>
      </c>
      <c r="R63" s="92">
        <f>IF('INTERACTION-PAGE'!R63="","",'INTERACTION-PAGE'!R63)</f>
        <v>4</v>
      </c>
      <c r="S63" s="92" t="str">
        <f>IF('INTERACTION-PAGE'!S63="","",'INTERACTION-PAGE'!S63)</f>
        <v/>
      </c>
      <c r="T63" s="92">
        <f>IF('INTERACTION-PAGE'!T63="","",'INTERACTION-PAGE'!T63)</f>
        <v>1</v>
      </c>
      <c r="U63" s="92">
        <f>IF('INTERACTION-PAGE'!U63="","",'INTERACTION-PAGE'!U63)</f>
        <v>2</v>
      </c>
      <c r="V63" s="92">
        <f>IF('INTERACTION-PAGE'!V63="","",'INTERACTION-PAGE'!V63)</f>
        <v>4</v>
      </c>
      <c r="W63" s="92">
        <f>IF('INTERACTION-PAGE'!W63="","",'INTERACTION-PAGE'!W63)</f>
        <v>4.5</v>
      </c>
      <c r="X63" s="92" t="str">
        <f>IF('INTERACTION-PAGE'!X63="","",'INTERACTION-PAGE'!X63)</f>
        <v/>
      </c>
      <c r="Y63" s="167">
        <f t="shared" si="6"/>
        <v>36.66666667</v>
      </c>
      <c r="Z63" s="167">
        <f t="shared" ref="Z63:AD63" si="57">IF(OR( $B63="", $B63="AB", $B63="UR", $C63="", $C63="AB", $C63="UR", $D63="AB", $D63="UR"),"",(IF(OR(E$10&gt;0,J$10&gt;0,O$10&gt;0,T$10&gt;0),(Z$10*(IF(AND(E$10&gt;0), IF(OR(E63="", E63="AB",E63="UR"),0,E63),0) +IF(AND(J$10&gt;0), IF(OR(J63="",J63="AB",J63=""),0,J63),0)+IF(AND(O$10&gt;0), IF(OR(O63="", O63="AB",O63="UR"),0,O63),0)+IF(AND(T$10&gt;0), IF(OR(T63="",T63="AB",T63="UR"),0,T63),0))/(E$10+J$10+O$10+T$10))," ")))</f>
        <v>52.77777778</v>
      </c>
      <c r="AA63" s="167">
        <f t="shared" si="57"/>
        <v>41.02564103</v>
      </c>
      <c r="AB63" s="167">
        <f t="shared" si="57"/>
        <v>28.75</v>
      </c>
      <c r="AC63" s="167">
        <f t="shared" si="57"/>
        <v>24.28571429</v>
      </c>
      <c r="AD63" s="167" t="str">
        <f t="shared" si="57"/>
        <v> </v>
      </c>
      <c r="AE63" s="168">
        <f t="shared" si="5"/>
        <v>36.70978327</v>
      </c>
      <c r="AF63" s="29"/>
    </row>
    <row r="64" ht="15.0" customHeight="1">
      <c r="A64" s="79">
        <v>54.0</v>
      </c>
      <c r="B64" s="92" t="str">
        <f>IF('INTERACTION-PAGE'!B64="","",'INTERACTION-PAGE'!B64)</f>
        <v>MEB21071</v>
      </c>
      <c r="C64" s="92" t="str">
        <f>IF('INTERACTION-PAGE'!C64="","",'INTERACTION-PAGE'!C64)</f>
        <v>CHINMOY  BORA </v>
      </c>
      <c r="D64" s="92" t="str">
        <f>IF('INTERACTION-PAGE'!D64="","",'INTERACTION-PAGE'!D64)</f>
        <v/>
      </c>
      <c r="E64" s="92">
        <f>IF('INTERACTION-PAGE'!E64="","",'INTERACTION-PAGE'!E64)</f>
        <v>5</v>
      </c>
      <c r="F64" s="92">
        <f>IF('INTERACTION-PAGE'!F64="","",'INTERACTION-PAGE'!F64)</f>
        <v>8.5</v>
      </c>
      <c r="G64" s="92" t="str">
        <f>IF('INTERACTION-PAGE'!G64="","",'INTERACTION-PAGE'!G64)</f>
        <v/>
      </c>
      <c r="H64" s="92" t="str">
        <f>IF('INTERACTION-PAGE'!H64="","",'INTERACTION-PAGE'!H64)</f>
        <v/>
      </c>
      <c r="I64" s="92" t="str">
        <f>IF('INTERACTION-PAGE'!I64="","",'INTERACTION-PAGE'!I64)</f>
        <v/>
      </c>
      <c r="J64" s="92">
        <f>IF('INTERACTION-PAGE'!J64="","",'INTERACTION-PAGE'!J64)</f>
        <v>15</v>
      </c>
      <c r="K64" s="92">
        <f>IF('INTERACTION-PAGE'!K64="","",'INTERACTION-PAGE'!K64)</f>
        <v>10</v>
      </c>
      <c r="L64" s="92" t="str">
        <f>IF('INTERACTION-PAGE'!L64="","",'INTERACTION-PAGE'!L64)</f>
        <v/>
      </c>
      <c r="M64" s="92" t="str">
        <f>IF('INTERACTION-PAGE'!M64="","",'INTERACTION-PAGE'!M64)</f>
        <v/>
      </c>
      <c r="N64" s="92" t="str">
        <f>IF('INTERACTION-PAGE'!N64="","",'INTERACTION-PAGE'!N64)</f>
        <v/>
      </c>
      <c r="O64" s="92">
        <f>IF('INTERACTION-PAGE'!O64="","",'INTERACTION-PAGE'!O64)</f>
        <v>2</v>
      </c>
      <c r="P64" s="92">
        <f>IF('INTERACTION-PAGE'!P64="","",'INTERACTION-PAGE'!P64)</f>
        <v>2</v>
      </c>
      <c r="Q64" s="92">
        <f>IF('INTERACTION-PAGE'!Q64="","",'INTERACTION-PAGE'!Q64)</f>
        <v>8</v>
      </c>
      <c r="R64" s="92">
        <f>IF('INTERACTION-PAGE'!R64="","",'INTERACTION-PAGE'!R64)</f>
        <v>4</v>
      </c>
      <c r="S64" s="92" t="str">
        <f>IF('INTERACTION-PAGE'!S64="","",'INTERACTION-PAGE'!S64)</f>
        <v/>
      </c>
      <c r="T64" s="92">
        <f>IF('INTERACTION-PAGE'!T64="","",'INTERACTION-PAGE'!T64)</f>
        <v>1</v>
      </c>
      <c r="U64" s="92">
        <f>IF('INTERACTION-PAGE'!U64="","",'INTERACTION-PAGE'!U64)</f>
        <v>3</v>
      </c>
      <c r="V64" s="92">
        <f>IF('INTERACTION-PAGE'!V64="","",'INTERACTION-PAGE'!V64)</f>
        <v>5</v>
      </c>
      <c r="W64" s="92">
        <f>IF('INTERACTION-PAGE'!W64="","",'INTERACTION-PAGE'!W64)</f>
        <v>6.5</v>
      </c>
      <c r="X64" s="92" t="str">
        <f>IF('INTERACTION-PAGE'!X64="","",'INTERACTION-PAGE'!X64)</f>
        <v/>
      </c>
      <c r="Y64" s="167">
        <f t="shared" si="6"/>
        <v>46.66666667</v>
      </c>
      <c r="Z64" s="167">
        <f t="shared" ref="Z64:AD64" si="58">IF(OR( $B64="", $B64="AB", $B64="UR", $C64="", $C64="AB", $C64="UR", $D64="AB", $D64="UR"),"",(IF(OR(E$10&gt;0,J$10&gt;0,O$10&gt;0,T$10&gt;0),(Z$10*(IF(AND(E$10&gt;0), IF(OR(E64="", E64="AB",E64="UR"),0,E64),0) +IF(AND(J$10&gt;0), IF(OR(J64="",J64="AB",J64=""),0,J64),0)+IF(AND(O$10&gt;0), IF(OR(O64="", O64="AB",O64="UR"),0,O64),0)+IF(AND(T$10&gt;0), IF(OR(T64="",T64="AB",T64="UR"),0,T64),0))/(E$10+J$10+O$10+T$10))," ")))</f>
        <v>63.88888889</v>
      </c>
      <c r="AA64" s="167">
        <f t="shared" si="58"/>
        <v>60.25641026</v>
      </c>
      <c r="AB64" s="167">
        <f t="shared" si="58"/>
        <v>32.5</v>
      </c>
      <c r="AC64" s="167">
        <f t="shared" si="58"/>
        <v>30</v>
      </c>
      <c r="AD64" s="167" t="str">
        <f t="shared" si="58"/>
        <v> </v>
      </c>
      <c r="AE64" s="168">
        <f t="shared" si="5"/>
        <v>46.66132479</v>
      </c>
      <c r="AF64" s="29"/>
    </row>
    <row r="65" ht="15.0" customHeight="1">
      <c r="A65" s="65">
        <v>55.0</v>
      </c>
      <c r="B65" s="92" t="str">
        <f>IF('INTERACTION-PAGE'!B65="","",'INTERACTION-PAGE'!B65)</f>
        <v>MEB20050</v>
      </c>
      <c r="C65" s="92" t="str">
        <f>IF('INTERACTION-PAGE'!C65="","",'INTERACTION-PAGE'!C65)</f>
        <v>LALIT PATIDAR</v>
      </c>
      <c r="D65" s="92" t="str">
        <f>IF('INTERACTION-PAGE'!D65="","",'INTERACTION-PAGE'!D65)</f>
        <v/>
      </c>
      <c r="E65" s="92">
        <f>IF('INTERACTION-PAGE'!E65="","",'INTERACTION-PAGE'!E65)</f>
        <v>5</v>
      </c>
      <c r="F65" s="92">
        <f>IF('INTERACTION-PAGE'!F65="","",'INTERACTION-PAGE'!F65)</f>
        <v>8.5</v>
      </c>
      <c r="G65" s="92" t="str">
        <f>IF('INTERACTION-PAGE'!G65="","",'INTERACTION-PAGE'!G65)</f>
        <v/>
      </c>
      <c r="H65" s="92" t="str">
        <f>IF('INTERACTION-PAGE'!H65="","",'INTERACTION-PAGE'!H65)</f>
        <v/>
      </c>
      <c r="I65" s="92" t="str">
        <f>IF('INTERACTION-PAGE'!I65="","",'INTERACTION-PAGE'!I65)</f>
        <v/>
      </c>
      <c r="J65" s="92">
        <f>IF('INTERACTION-PAGE'!J65="","",'INTERACTION-PAGE'!J65)</f>
        <v>14</v>
      </c>
      <c r="K65" s="92">
        <f>IF('INTERACTION-PAGE'!K65="","",'INTERACTION-PAGE'!K65)</f>
        <v>9</v>
      </c>
      <c r="L65" s="92" t="str">
        <f>IF('INTERACTION-PAGE'!L65="","",'INTERACTION-PAGE'!L65)</f>
        <v/>
      </c>
      <c r="M65" s="92" t="str">
        <f>IF('INTERACTION-PAGE'!M65="","",'INTERACTION-PAGE'!M65)</f>
        <v/>
      </c>
      <c r="N65" s="92" t="str">
        <f>IF('INTERACTION-PAGE'!N65="","",'INTERACTION-PAGE'!N65)</f>
        <v/>
      </c>
      <c r="O65" s="92">
        <f>IF('INTERACTION-PAGE'!O65="","",'INTERACTION-PAGE'!O65)</f>
        <v>2</v>
      </c>
      <c r="P65" s="92">
        <f>IF('INTERACTION-PAGE'!P65="","",'INTERACTION-PAGE'!P65)</f>
        <v>1</v>
      </c>
      <c r="Q65" s="92">
        <f>IF('INTERACTION-PAGE'!Q65="","",'INTERACTION-PAGE'!Q65)</f>
        <v>7.5</v>
      </c>
      <c r="R65" s="92">
        <f>IF('INTERACTION-PAGE'!R65="","",'INTERACTION-PAGE'!R65)</f>
        <v>4</v>
      </c>
      <c r="S65" s="92" t="str">
        <f>IF('INTERACTION-PAGE'!S65="","",'INTERACTION-PAGE'!S65)</f>
        <v/>
      </c>
      <c r="T65" s="92">
        <f>IF('INTERACTION-PAGE'!T65="","",'INTERACTION-PAGE'!T65)</f>
        <v>1</v>
      </c>
      <c r="U65" s="92">
        <f>IF('INTERACTION-PAGE'!U65="","",'INTERACTION-PAGE'!U65)</f>
        <v>3</v>
      </c>
      <c r="V65" s="92">
        <f>IF('INTERACTION-PAGE'!V65="","",'INTERACTION-PAGE'!V65)</f>
        <v>5</v>
      </c>
      <c r="W65" s="92">
        <f>IF('INTERACTION-PAGE'!W65="","",'INTERACTION-PAGE'!W65)</f>
        <v>6</v>
      </c>
      <c r="X65" s="92" t="str">
        <f>IF('INTERACTION-PAGE'!X65="","",'INTERACTION-PAGE'!X65)</f>
        <v/>
      </c>
      <c r="Y65" s="167">
        <f t="shared" si="6"/>
        <v>44</v>
      </c>
      <c r="Z65" s="167">
        <f t="shared" ref="Z65:AD65" si="59">IF(OR( $B65="", $B65="AB", $B65="UR", $C65="", $C65="AB", $C65="UR", $D65="AB", $D65="UR"),"",(IF(OR(E$10&gt;0,J$10&gt;0,O$10&gt;0,T$10&gt;0),(Z$10*(IF(AND(E$10&gt;0), IF(OR(E65="", E65="AB",E65="UR"),0,E65),0) +IF(AND(J$10&gt;0), IF(OR(J65="",J65="AB",J65=""),0,J65),0)+IF(AND(O$10&gt;0), IF(OR(O65="", O65="AB",O65="UR"),0,O65),0)+IF(AND(T$10&gt;0), IF(OR(T65="",T65="AB",T65="UR"),0,T65),0))/(E$10+J$10+O$10+T$10))," ")))</f>
        <v>61.11111111</v>
      </c>
      <c r="AA65" s="167">
        <f t="shared" si="59"/>
        <v>55.12820513</v>
      </c>
      <c r="AB65" s="167">
        <f t="shared" si="59"/>
        <v>31.25</v>
      </c>
      <c r="AC65" s="167">
        <f t="shared" si="59"/>
        <v>28.57142857</v>
      </c>
      <c r="AD65" s="167" t="str">
        <f t="shared" si="59"/>
        <v> </v>
      </c>
      <c r="AE65" s="168">
        <f t="shared" si="5"/>
        <v>44.0151862</v>
      </c>
      <c r="AF65" s="29"/>
    </row>
    <row r="66" ht="15.0" customHeight="1">
      <c r="A66" s="79">
        <v>56.0</v>
      </c>
      <c r="B66" s="92" t="str">
        <f>IF('INTERACTION-PAGE'!B66="","",'INTERACTION-PAGE'!B66)</f>
        <v/>
      </c>
      <c r="C66" s="92" t="str">
        <f>IF('INTERACTION-PAGE'!C66="","",'INTERACTION-PAGE'!C66)</f>
        <v/>
      </c>
      <c r="D66" s="92" t="str">
        <f>IF('INTERACTION-PAGE'!D66="","",'INTERACTION-PAGE'!D66)</f>
        <v/>
      </c>
      <c r="E66" s="92" t="str">
        <f>IF('INTERACTION-PAGE'!E66="","",'INTERACTION-PAGE'!E66)</f>
        <v/>
      </c>
      <c r="F66" s="92" t="str">
        <f>IF('INTERACTION-PAGE'!F66="","",'INTERACTION-PAGE'!F66)</f>
        <v/>
      </c>
      <c r="G66" s="92" t="str">
        <f>IF('INTERACTION-PAGE'!G66="","",'INTERACTION-PAGE'!G66)</f>
        <v/>
      </c>
      <c r="H66" s="92" t="str">
        <f>IF('INTERACTION-PAGE'!H66="","",'INTERACTION-PAGE'!H66)</f>
        <v/>
      </c>
      <c r="I66" s="92" t="str">
        <f>IF('INTERACTION-PAGE'!I66="","",'INTERACTION-PAGE'!I66)</f>
        <v/>
      </c>
      <c r="J66" s="92" t="str">
        <f>IF('INTERACTION-PAGE'!J66="","",'INTERACTION-PAGE'!J66)</f>
        <v/>
      </c>
      <c r="K66" s="92" t="str">
        <f>IF('INTERACTION-PAGE'!K66="","",'INTERACTION-PAGE'!K66)</f>
        <v/>
      </c>
      <c r="L66" s="92" t="str">
        <f>IF('INTERACTION-PAGE'!L66="","",'INTERACTION-PAGE'!L66)</f>
        <v/>
      </c>
      <c r="M66" s="92" t="str">
        <f>IF('INTERACTION-PAGE'!M66="","",'INTERACTION-PAGE'!M66)</f>
        <v/>
      </c>
      <c r="N66" s="92" t="str">
        <f>IF('INTERACTION-PAGE'!N66="","",'INTERACTION-PAGE'!N66)</f>
        <v/>
      </c>
      <c r="O66" s="92" t="str">
        <f>IF('INTERACTION-PAGE'!O66="","",'INTERACTION-PAGE'!O66)</f>
        <v/>
      </c>
      <c r="P66" s="92" t="str">
        <f>IF('INTERACTION-PAGE'!P66="","",'INTERACTION-PAGE'!P66)</f>
        <v/>
      </c>
      <c r="Q66" s="92" t="str">
        <f>IF('INTERACTION-PAGE'!Q66="","",'INTERACTION-PAGE'!Q66)</f>
        <v/>
      </c>
      <c r="R66" s="92" t="str">
        <f>IF('INTERACTION-PAGE'!R66="","",'INTERACTION-PAGE'!R66)</f>
        <v/>
      </c>
      <c r="S66" s="92" t="str">
        <f>IF('INTERACTION-PAGE'!S66="","",'INTERACTION-PAGE'!S66)</f>
        <v/>
      </c>
      <c r="T66" s="92" t="str">
        <f>IF('INTERACTION-PAGE'!T66="","",'INTERACTION-PAGE'!T66)</f>
        <v/>
      </c>
      <c r="U66" s="92" t="str">
        <f>IF('INTERACTION-PAGE'!U66="","",'INTERACTION-PAGE'!U66)</f>
        <v/>
      </c>
      <c r="V66" s="92" t="str">
        <f>IF('INTERACTION-PAGE'!V66="","",'INTERACTION-PAGE'!V66)</f>
        <v/>
      </c>
      <c r="W66" s="92" t="str">
        <f>IF('INTERACTION-PAGE'!W66="","",'INTERACTION-PAGE'!W66)</f>
        <v/>
      </c>
      <c r="X66" s="92" t="str">
        <f>IF('INTERACTION-PAGE'!X66="","",'INTERACTION-PAGE'!X66)</f>
        <v/>
      </c>
      <c r="Y66" s="167" t="str">
        <f t="shared" si="6"/>
        <v/>
      </c>
      <c r="Z66" s="167" t="str">
        <f t="shared" ref="Z66:AD66" si="60">IF(OR( $B66="", $B66="AB", $B66="UR", $C66="", $C66="AB", $C66="UR", $D66="AB", $D66="UR"),"",(IF(OR(E$10&gt;0,J$10&gt;0,O$10&gt;0,T$10&gt;0),(Z$10*(IF(AND(E$10&gt;0), IF(OR(E66="", E66="AB",E66="UR"),0,E66),0) +IF(AND(J$10&gt;0), IF(OR(J66="",J66="AB",J66=""),0,J66),0)+IF(AND(O$10&gt;0), IF(OR(O66="", O66="AB",O66="UR"),0,O66),0)+IF(AND(T$10&gt;0), IF(OR(T66="",T66="AB",T66="UR"),0,T66),0))/(E$10+J$10+O$10+T$10))," ")))</f>
        <v/>
      </c>
      <c r="AA66" s="167" t="str">
        <f t="shared" si="60"/>
        <v/>
      </c>
      <c r="AB66" s="167" t="str">
        <f t="shared" si="60"/>
        <v/>
      </c>
      <c r="AC66" s="167" t="str">
        <f t="shared" si="60"/>
        <v/>
      </c>
      <c r="AD66" s="167" t="str">
        <f t="shared" si="60"/>
        <v/>
      </c>
      <c r="AE66" s="168" t="str">
        <f t="shared" si="5"/>
        <v/>
      </c>
      <c r="AF66" s="29"/>
    </row>
    <row r="67" ht="15.0" customHeight="1">
      <c r="A67" s="65">
        <v>57.0</v>
      </c>
      <c r="B67" s="92" t="str">
        <f>IF('INTERACTION-PAGE'!B67="","",'INTERACTION-PAGE'!B67)</f>
        <v/>
      </c>
      <c r="C67" s="92" t="str">
        <f>IF('INTERACTION-PAGE'!C67="","",'INTERACTION-PAGE'!C67)</f>
        <v/>
      </c>
      <c r="D67" s="92" t="str">
        <f>IF('INTERACTION-PAGE'!D67="","",'INTERACTION-PAGE'!D67)</f>
        <v/>
      </c>
      <c r="E67" s="92" t="str">
        <f>IF('INTERACTION-PAGE'!E67="","",'INTERACTION-PAGE'!E67)</f>
        <v/>
      </c>
      <c r="F67" s="92" t="str">
        <f>IF('INTERACTION-PAGE'!F67="","",'INTERACTION-PAGE'!F67)</f>
        <v/>
      </c>
      <c r="G67" s="92" t="str">
        <f>IF('INTERACTION-PAGE'!G67="","",'INTERACTION-PAGE'!G67)</f>
        <v/>
      </c>
      <c r="H67" s="92" t="str">
        <f>IF('INTERACTION-PAGE'!H67="","",'INTERACTION-PAGE'!H67)</f>
        <v/>
      </c>
      <c r="I67" s="92" t="str">
        <f>IF('INTERACTION-PAGE'!I67="","",'INTERACTION-PAGE'!I67)</f>
        <v/>
      </c>
      <c r="J67" s="92" t="str">
        <f>IF('INTERACTION-PAGE'!J67="","",'INTERACTION-PAGE'!J67)</f>
        <v/>
      </c>
      <c r="K67" s="92" t="str">
        <f>IF('INTERACTION-PAGE'!K67="","",'INTERACTION-PAGE'!K67)</f>
        <v/>
      </c>
      <c r="L67" s="92" t="str">
        <f>IF('INTERACTION-PAGE'!L67="","",'INTERACTION-PAGE'!L67)</f>
        <v/>
      </c>
      <c r="M67" s="92" t="str">
        <f>IF('INTERACTION-PAGE'!M67="","",'INTERACTION-PAGE'!M67)</f>
        <v/>
      </c>
      <c r="N67" s="92" t="str">
        <f>IF('INTERACTION-PAGE'!N67="","",'INTERACTION-PAGE'!N67)</f>
        <v/>
      </c>
      <c r="O67" s="92" t="str">
        <f>IF('INTERACTION-PAGE'!O67="","",'INTERACTION-PAGE'!O67)</f>
        <v/>
      </c>
      <c r="P67" s="92" t="str">
        <f>IF('INTERACTION-PAGE'!P67="","",'INTERACTION-PAGE'!P67)</f>
        <v/>
      </c>
      <c r="Q67" s="92" t="str">
        <f>IF('INTERACTION-PAGE'!Q67="","",'INTERACTION-PAGE'!Q67)</f>
        <v/>
      </c>
      <c r="R67" s="92" t="str">
        <f>IF('INTERACTION-PAGE'!R67="","",'INTERACTION-PAGE'!R67)</f>
        <v/>
      </c>
      <c r="S67" s="92" t="str">
        <f>IF('INTERACTION-PAGE'!S67="","",'INTERACTION-PAGE'!S67)</f>
        <v/>
      </c>
      <c r="T67" s="92" t="str">
        <f>IF('INTERACTION-PAGE'!T67="","",'INTERACTION-PAGE'!T67)</f>
        <v/>
      </c>
      <c r="U67" s="92" t="str">
        <f>IF('INTERACTION-PAGE'!U67="","",'INTERACTION-PAGE'!U67)</f>
        <v/>
      </c>
      <c r="V67" s="92" t="str">
        <f>IF('INTERACTION-PAGE'!V67="","",'INTERACTION-PAGE'!V67)</f>
        <v/>
      </c>
      <c r="W67" s="92" t="str">
        <f>IF('INTERACTION-PAGE'!W67="","",'INTERACTION-PAGE'!W67)</f>
        <v/>
      </c>
      <c r="X67" s="92" t="str">
        <f>IF('INTERACTION-PAGE'!X67="","",'INTERACTION-PAGE'!X67)</f>
        <v/>
      </c>
      <c r="Y67" s="167" t="str">
        <f t="shared" si="6"/>
        <v/>
      </c>
      <c r="Z67" s="167" t="str">
        <f t="shared" ref="Z67:AD67" si="61">IF(OR( $B67="", $B67="AB", $B67="UR", $C67="", $C67="AB", $C67="UR", $D67="AB", $D67="UR"),"",(IF(OR(E$10&gt;0,J$10&gt;0,O$10&gt;0,T$10&gt;0),(Z$10*(IF(AND(E$10&gt;0), IF(OR(E67="", E67="AB",E67="UR"),0,E67),0) +IF(AND(J$10&gt;0), IF(OR(J67="",J67="AB",J67=""),0,J67),0)+IF(AND(O$10&gt;0), IF(OR(O67="", O67="AB",O67="UR"),0,O67),0)+IF(AND(T$10&gt;0), IF(OR(T67="",T67="AB",T67="UR"),0,T67),0))/(E$10+J$10+O$10+T$10))," ")))</f>
        <v/>
      </c>
      <c r="AA67" s="167" t="str">
        <f t="shared" si="61"/>
        <v/>
      </c>
      <c r="AB67" s="167" t="str">
        <f t="shared" si="61"/>
        <v/>
      </c>
      <c r="AC67" s="167" t="str">
        <f t="shared" si="61"/>
        <v/>
      </c>
      <c r="AD67" s="167" t="str">
        <f t="shared" si="61"/>
        <v/>
      </c>
      <c r="AE67" s="168" t="str">
        <f t="shared" si="5"/>
        <v/>
      </c>
      <c r="AF67" s="29"/>
    </row>
    <row r="68" ht="15.0" customHeight="1">
      <c r="A68" s="79">
        <v>58.0</v>
      </c>
      <c r="B68" s="92" t="str">
        <f>IF('INTERACTION-PAGE'!B68="","",'INTERACTION-PAGE'!B68)</f>
        <v/>
      </c>
      <c r="C68" s="92" t="str">
        <f>IF('INTERACTION-PAGE'!C68="","",'INTERACTION-PAGE'!C68)</f>
        <v/>
      </c>
      <c r="D68" s="92" t="str">
        <f>IF('INTERACTION-PAGE'!D68="","",'INTERACTION-PAGE'!D68)</f>
        <v/>
      </c>
      <c r="E68" s="92" t="str">
        <f>IF('INTERACTION-PAGE'!E68="","",'INTERACTION-PAGE'!E68)</f>
        <v/>
      </c>
      <c r="F68" s="92" t="str">
        <f>IF('INTERACTION-PAGE'!F68="","",'INTERACTION-PAGE'!F68)</f>
        <v/>
      </c>
      <c r="G68" s="92" t="str">
        <f>IF('INTERACTION-PAGE'!G68="","",'INTERACTION-PAGE'!G68)</f>
        <v/>
      </c>
      <c r="H68" s="92" t="str">
        <f>IF('INTERACTION-PAGE'!H68="","",'INTERACTION-PAGE'!H68)</f>
        <v/>
      </c>
      <c r="I68" s="92" t="str">
        <f>IF('INTERACTION-PAGE'!I68="","",'INTERACTION-PAGE'!I68)</f>
        <v/>
      </c>
      <c r="J68" s="92" t="str">
        <f>IF('INTERACTION-PAGE'!J68="","",'INTERACTION-PAGE'!J68)</f>
        <v/>
      </c>
      <c r="K68" s="92" t="str">
        <f>IF('INTERACTION-PAGE'!K68="","",'INTERACTION-PAGE'!K68)</f>
        <v/>
      </c>
      <c r="L68" s="92" t="str">
        <f>IF('INTERACTION-PAGE'!L68="","",'INTERACTION-PAGE'!L68)</f>
        <v/>
      </c>
      <c r="M68" s="92" t="str">
        <f>IF('INTERACTION-PAGE'!M68="","",'INTERACTION-PAGE'!M68)</f>
        <v/>
      </c>
      <c r="N68" s="92" t="str">
        <f>IF('INTERACTION-PAGE'!N68="","",'INTERACTION-PAGE'!N68)</f>
        <v/>
      </c>
      <c r="O68" s="92" t="str">
        <f>IF('INTERACTION-PAGE'!O68="","",'INTERACTION-PAGE'!O68)</f>
        <v/>
      </c>
      <c r="P68" s="92" t="str">
        <f>IF('INTERACTION-PAGE'!P68="","",'INTERACTION-PAGE'!P68)</f>
        <v/>
      </c>
      <c r="Q68" s="92" t="str">
        <f>IF('INTERACTION-PAGE'!Q68="","",'INTERACTION-PAGE'!Q68)</f>
        <v/>
      </c>
      <c r="R68" s="92" t="str">
        <f>IF('INTERACTION-PAGE'!R68="","",'INTERACTION-PAGE'!R68)</f>
        <v/>
      </c>
      <c r="S68" s="92" t="str">
        <f>IF('INTERACTION-PAGE'!S68="","",'INTERACTION-PAGE'!S68)</f>
        <v/>
      </c>
      <c r="T68" s="92" t="str">
        <f>IF('INTERACTION-PAGE'!T68="","",'INTERACTION-PAGE'!T68)</f>
        <v/>
      </c>
      <c r="U68" s="92" t="str">
        <f>IF('INTERACTION-PAGE'!U68="","",'INTERACTION-PAGE'!U68)</f>
        <v/>
      </c>
      <c r="V68" s="92" t="str">
        <f>IF('INTERACTION-PAGE'!V68="","",'INTERACTION-PAGE'!V68)</f>
        <v/>
      </c>
      <c r="W68" s="92" t="str">
        <f>IF('INTERACTION-PAGE'!W68="","",'INTERACTION-PAGE'!W68)</f>
        <v/>
      </c>
      <c r="X68" s="92" t="str">
        <f>IF('INTERACTION-PAGE'!X68="","",'INTERACTION-PAGE'!X68)</f>
        <v/>
      </c>
      <c r="Y68" s="167" t="str">
        <f t="shared" si="6"/>
        <v/>
      </c>
      <c r="Z68" s="167" t="str">
        <f t="shared" ref="Z68:AD68" si="62">IF(OR( $B68="", $B68="AB", $B68="UR", $C68="", $C68="AB", $C68="UR", $D68="AB", $D68="UR"),"",(IF(OR(E$10&gt;0,J$10&gt;0,O$10&gt;0,T$10&gt;0),(Z$10*(IF(AND(E$10&gt;0), IF(OR(E68="", E68="AB",E68="UR"),0,E68),0) +IF(AND(J$10&gt;0), IF(OR(J68="",J68="AB",J68=""),0,J68),0)+IF(AND(O$10&gt;0), IF(OR(O68="", O68="AB",O68="UR"),0,O68),0)+IF(AND(T$10&gt;0), IF(OR(T68="",T68="AB",T68="UR"),0,T68),0))/(E$10+J$10+O$10+T$10))," ")))</f>
        <v/>
      </c>
      <c r="AA68" s="167" t="str">
        <f t="shared" si="62"/>
        <v/>
      </c>
      <c r="AB68" s="167" t="str">
        <f t="shared" si="62"/>
        <v/>
      </c>
      <c r="AC68" s="167" t="str">
        <f t="shared" si="62"/>
        <v/>
      </c>
      <c r="AD68" s="167" t="str">
        <f t="shared" si="62"/>
        <v/>
      </c>
      <c r="AE68" s="168" t="str">
        <f t="shared" si="5"/>
        <v/>
      </c>
      <c r="AF68" s="29"/>
    </row>
    <row r="69" ht="15.0" customHeight="1">
      <c r="A69" s="65">
        <v>59.0</v>
      </c>
      <c r="B69" s="92" t="str">
        <f>IF('INTERACTION-PAGE'!B69="","",'INTERACTION-PAGE'!B69)</f>
        <v/>
      </c>
      <c r="C69" s="92" t="str">
        <f>IF('INTERACTION-PAGE'!C69="","",'INTERACTION-PAGE'!C69)</f>
        <v/>
      </c>
      <c r="D69" s="92" t="str">
        <f>IF('INTERACTION-PAGE'!D69="","",'INTERACTION-PAGE'!D69)</f>
        <v/>
      </c>
      <c r="E69" s="92" t="str">
        <f>IF('INTERACTION-PAGE'!E69="","",'INTERACTION-PAGE'!E69)</f>
        <v/>
      </c>
      <c r="F69" s="92" t="str">
        <f>IF('INTERACTION-PAGE'!F69="","",'INTERACTION-PAGE'!F69)</f>
        <v/>
      </c>
      <c r="G69" s="92" t="str">
        <f>IF('INTERACTION-PAGE'!G69="","",'INTERACTION-PAGE'!G69)</f>
        <v/>
      </c>
      <c r="H69" s="92" t="str">
        <f>IF('INTERACTION-PAGE'!H69="","",'INTERACTION-PAGE'!H69)</f>
        <v/>
      </c>
      <c r="I69" s="92" t="str">
        <f>IF('INTERACTION-PAGE'!I69="","",'INTERACTION-PAGE'!I69)</f>
        <v/>
      </c>
      <c r="J69" s="92" t="str">
        <f>IF('INTERACTION-PAGE'!J69="","",'INTERACTION-PAGE'!J69)</f>
        <v/>
      </c>
      <c r="K69" s="92" t="str">
        <f>IF('INTERACTION-PAGE'!K69="","",'INTERACTION-PAGE'!K69)</f>
        <v/>
      </c>
      <c r="L69" s="92" t="str">
        <f>IF('INTERACTION-PAGE'!L69="","",'INTERACTION-PAGE'!L69)</f>
        <v/>
      </c>
      <c r="M69" s="92" t="str">
        <f>IF('INTERACTION-PAGE'!M69="","",'INTERACTION-PAGE'!M69)</f>
        <v/>
      </c>
      <c r="N69" s="92" t="str">
        <f>IF('INTERACTION-PAGE'!N69="","",'INTERACTION-PAGE'!N69)</f>
        <v/>
      </c>
      <c r="O69" s="92" t="str">
        <f>IF('INTERACTION-PAGE'!O69="","",'INTERACTION-PAGE'!O69)</f>
        <v/>
      </c>
      <c r="P69" s="92" t="str">
        <f>IF('INTERACTION-PAGE'!P69="","",'INTERACTION-PAGE'!P69)</f>
        <v/>
      </c>
      <c r="Q69" s="92" t="str">
        <f>IF('INTERACTION-PAGE'!Q69="","",'INTERACTION-PAGE'!Q69)</f>
        <v/>
      </c>
      <c r="R69" s="92" t="str">
        <f>IF('INTERACTION-PAGE'!R69="","",'INTERACTION-PAGE'!R69)</f>
        <v/>
      </c>
      <c r="S69" s="92" t="str">
        <f>IF('INTERACTION-PAGE'!S69="","",'INTERACTION-PAGE'!S69)</f>
        <v/>
      </c>
      <c r="T69" s="92" t="str">
        <f>IF('INTERACTION-PAGE'!T69="","",'INTERACTION-PAGE'!T69)</f>
        <v/>
      </c>
      <c r="U69" s="92" t="str">
        <f>IF('INTERACTION-PAGE'!U69="","",'INTERACTION-PAGE'!U69)</f>
        <v/>
      </c>
      <c r="V69" s="92" t="str">
        <f>IF('INTERACTION-PAGE'!V69="","",'INTERACTION-PAGE'!V69)</f>
        <v/>
      </c>
      <c r="W69" s="92" t="str">
        <f>IF('INTERACTION-PAGE'!W69="","",'INTERACTION-PAGE'!W69)</f>
        <v/>
      </c>
      <c r="X69" s="92" t="str">
        <f>IF('INTERACTION-PAGE'!X69="","",'INTERACTION-PAGE'!X69)</f>
        <v/>
      </c>
      <c r="Y69" s="167" t="str">
        <f t="shared" si="6"/>
        <v/>
      </c>
      <c r="Z69" s="167" t="str">
        <f t="shared" ref="Z69:AD69" si="63">IF(OR( $B69="", $B69="AB", $B69="UR", $C69="", $C69="AB", $C69="UR", $D69="AB", $D69="UR"),"",(IF(OR(E$10&gt;0,J$10&gt;0,O$10&gt;0,T$10&gt;0),(Z$10*(IF(AND(E$10&gt;0), IF(OR(E69="", E69="AB",E69="UR"),0,E69),0) +IF(AND(J$10&gt;0), IF(OR(J69="",J69="AB",J69=""),0,J69),0)+IF(AND(O$10&gt;0), IF(OR(O69="", O69="AB",O69="UR"),0,O69),0)+IF(AND(T$10&gt;0), IF(OR(T69="",T69="AB",T69="UR"),0,T69),0))/(E$10+J$10+O$10+T$10))," ")))</f>
        <v/>
      </c>
      <c r="AA69" s="167" t="str">
        <f t="shared" si="63"/>
        <v/>
      </c>
      <c r="AB69" s="167" t="str">
        <f t="shared" si="63"/>
        <v/>
      </c>
      <c r="AC69" s="167" t="str">
        <f t="shared" si="63"/>
        <v/>
      </c>
      <c r="AD69" s="167" t="str">
        <f t="shared" si="63"/>
        <v/>
      </c>
      <c r="AE69" s="168" t="str">
        <f t="shared" si="5"/>
        <v/>
      </c>
      <c r="AF69" s="29"/>
    </row>
    <row r="70" ht="15.0" customHeight="1">
      <c r="A70" s="79">
        <v>60.0</v>
      </c>
      <c r="B70" s="92" t="str">
        <f>IF('INTERACTION-PAGE'!B70="","",'INTERACTION-PAGE'!B70)</f>
        <v/>
      </c>
      <c r="C70" s="92" t="str">
        <f>IF('INTERACTION-PAGE'!C70="","",'INTERACTION-PAGE'!C70)</f>
        <v/>
      </c>
      <c r="D70" s="92" t="str">
        <f>IF('INTERACTION-PAGE'!D70="","",'INTERACTION-PAGE'!D70)</f>
        <v/>
      </c>
      <c r="E70" s="92" t="str">
        <f>IF('INTERACTION-PAGE'!E70="","",'INTERACTION-PAGE'!E70)</f>
        <v/>
      </c>
      <c r="F70" s="92" t="str">
        <f>IF('INTERACTION-PAGE'!F70="","",'INTERACTION-PAGE'!F70)</f>
        <v/>
      </c>
      <c r="G70" s="92" t="str">
        <f>IF('INTERACTION-PAGE'!G70="","",'INTERACTION-PAGE'!G70)</f>
        <v/>
      </c>
      <c r="H70" s="92" t="str">
        <f>IF('INTERACTION-PAGE'!H70="","",'INTERACTION-PAGE'!H70)</f>
        <v/>
      </c>
      <c r="I70" s="92" t="str">
        <f>IF('INTERACTION-PAGE'!I70="","",'INTERACTION-PAGE'!I70)</f>
        <v/>
      </c>
      <c r="J70" s="92" t="str">
        <f>IF('INTERACTION-PAGE'!J70="","",'INTERACTION-PAGE'!J70)</f>
        <v/>
      </c>
      <c r="K70" s="92" t="str">
        <f>IF('INTERACTION-PAGE'!K70="","",'INTERACTION-PAGE'!K70)</f>
        <v/>
      </c>
      <c r="L70" s="92" t="str">
        <f>IF('INTERACTION-PAGE'!L70="","",'INTERACTION-PAGE'!L70)</f>
        <v/>
      </c>
      <c r="M70" s="92" t="str">
        <f>IF('INTERACTION-PAGE'!M70="","",'INTERACTION-PAGE'!M70)</f>
        <v/>
      </c>
      <c r="N70" s="92" t="str">
        <f>IF('INTERACTION-PAGE'!N70="","",'INTERACTION-PAGE'!N70)</f>
        <v/>
      </c>
      <c r="O70" s="92" t="str">
        <f>IF('INTERACTION-PAGE'!O70="","",'INTERACTION-PAGE'!O70)</f>
        <v/>
      </c>
      <c r="P70" s="92" t="str">
        <f>IF('INTERACTION-PAGE'!P70="","",'INTERACTION-PAGE'!P70)</f>
        <v/>
      </c>
      <c r="Q70" s="92" t="str">
        <f>IF('INTERACTION-PAGE'!Q70="","",'INTERACTION-PAGE'!Q70)</f>
        <v/>
      </c>
      <c r="R70" s="92" t="str">
        <f>IF('INTERACTION-PAGE'!R70="","",'INTERACTION-PAGE'!R70)</f>
        <v/>
      </c>
      <c r="S70" s="92" t="str">
        <f>IF('INTERACTION-PAGE'!S70="","",'INTERACTION-PAGE'!S70)</f>
        <v/>
      </c>
      <c r="T70" s="92" t="str">
        <f>IF('INTERACTION-PAGE'!T70="","",'INTERACTION-PAGE'!T70)</f>
        <v/>
      </c>
      <c r="U70" s="92" t="str">
        <f>IF('INTERACTION-PAGE'!U70="","",'INTERACTION-PAGE'!U70)</f>
        <v/>
      </c>
      <c r="V70" s="92" t="str">
        <f>IF('INTERACTION-PAGE'!V70="","",'INTERACTION-PAGE'!V70)</f>
        <v/>
      </c>
      <c r="W70" s="92" t="str">
        <f>IF('INTERACTION-PAGE'!W70="","",'INTERACTION-PAGE'!W70)</f>
        <v/>
      </c>
      <c r="X70" s="92" t="str">
        <f>IF('INTERACTION-PAGE'!X70="","",'INTERACTION-PAGE'!X70)</f>
        <v/>
      </c>
      <c r="Y70" s="167" t="str">
        <f t="shared" si="6"/>
        <v/>
      </c>
      <c r="Z70" s="167" t="str">
        <f t="shared" ref="Z70:AD70" si="64">IF(OR( $B70="", $B70="AB", $B70="UR", $C70="", $C70="AB", $C70="UR", $D70="AB", $D70="UR"),"",(IF(OR(E$10&gt;0,J$10&gt;0,O$10&gt;0,T$10&gt;0),(Z$10*(IF(AND(E$10&gt;0), IF(OR(E70="", E70="AB",E70="UR"),0,E70),0) +IF(AND(J$10&gt;0), IF(OR(J70="",J70="AB",J70=""),0,J70),0)+IF(AND(O$10&gt;0), IF(OR(O70="", O70="AB",O70="UR"),0,O70),0)+IF(AND(T$10&gt;0), IF(OR(T70="",T70="AB",T70="UR"),0,T70),0))/(E$10+J$10+O$10+T$10))," ")))</f>
        <v/>
      </c>
      <c r="AA70" s="167" t="str">
        <f t="shared" si="64"/>
        <v/>
      </c>
      <c r="AB70" s="167" t="str">
        <f t="shared" si="64"/>
        <v/>
      </c>
      <c r="AC70" s="167" t="str">
        <f t="shared" si="64"/>
        <v/>
      </c>
      <c r="AD70" s="167" t="str">
        <f t="shared" si="64"/>
        <v/>
      </c>
      <c r="AE70" s="168" t="str">
        <f t="shared" si="5"/>
        <v/>
      </c>
      <c r="AF70" s="29"/>
    </row>
    <row r="71" ht="15.0" customHeight="1">
      <c r="A71" s="65">
        <v>61.0</v>
      </c>
      <c r="B71" s="92" t="str">
        <f>IF('INTERACTION-PAGE'!B71="","",'INTERACTION-PAGE'!B71)</f>
        <v/>
      </c>
      <c r="C71" s="92" t="str">
        <f>IF('INTERACTION-PAGE'!C71="","",'INTERACTION-PAGE'!C71)</f>
        <v/>
      </c>
      <c r="D71" s="92" t="str">
        <f>IF('INTERACTION-PAGE'!D71="","",'INTERACTION-PAGE'!D71)</f>
        <v/>
      </c>
      <c r="E71" s="92" t="str">
        <f>IF('INTERACTION-PAGE'!E71="","",'INTERACTION-PAGE'!E71)</f>
        <v/>
      </c>
      <c r="F71" s="92" t="str">
        <f>IF('INTERACTION-PAGE'!F71="","",'INTERACTION-PAGE'!F71)</f>
        <v/>
      </c>
      <c r="G71" s="92" t="str">
        <f>IF('INTERACTION-PAGE'!G71="","",'INTERACTION-PAGE'!G71)</f>
        <v/>
      </c>
      <c r="H71" s="92" t="str">
        <f>IF('INTERACTION-PAGE'!H71="","",'INTERACTION-PAGE'!H71)</f>
        <v/>
      </c>
      <c r="I71" s="92" t="str">
        <f>IF('INTERACTION-PAGE'!I71="","",'INTERACTION-PAGE'!I71)</f>
        <v/>
      </c>
      <c r="J71" s="92" t="str">
        <f>IF('INTERACTION-PAGE'!J71="","",'INTERACTION-PAGE'!J71)</f>
        <v/>
      </c>
      <c r="K71" s="92" t="str">
        <f>IF('INTERACTION-PAGE'!K71="","",'INTERACTION-PAGE'!K71)</f>
        <v/>
      </c>
      <c r="L71" s="92" t="str">
        <f>IF('INTERACTION-PAGE'!L71="","",'INTERACTION-PAGE'!L71)</f>
        <v/>
      </c>
      <c r="M71" s="92" t="str">
        <f>IF('INTERACTION-PAGE'!M71="","",'INTERACTION-PAGE'!M71)</f>
        <v/>
      </c>
      <c r="N71" s="92" t="str">
        <f>IF('INTERACTION-PAGE'!N71="","",'INTERACTION-PAGE'!N71)</f>
        <v/>
      </c>
      <c r="O71" s="92" t="str">
        <f>IF('INTERACTION-PAGE'!O71="","",'INTERACTION-PAGE'!O71)</f>
        <v/>
      </c>
      <c r="P71" s="92" t="str">
        <f>IF('INTERACTION-PAGE'!P71="","",'INTERACTION-PAGE'!P71)</f>
        <v/>
      </c>
      <c r="Q71" s="92" t="str">
        <f>IF('INTERACTION-PAGE'!Q71="","",'INTERACTION-PAGE'!Q71)</f>
        <v/>
      </c>
      <c r="R71" s="92" t="str">
        <f>IF('INTERACTION-PAGE'!R71="","",'INTERACTION-PAGE'!R71)</f>
        <v/>
      </c>
      <c r="S71" s="92" t="str">
        <f>IF('INTERACTION-PAGE'!S71="","",'INTERACTION-PAGE'!S71)</f>
        <v/>
      </c>
      <c r="T71" s="92" t="str">
        <f>IF('INTERACTION-PAGE'!T71="","",'INTERACTION-PAGE'!T71)</f>
        <v/>
      </c>
      <c r="U71" s="92" t="str">
        <f>IF('INTERACTION-PAGE'!U71="","",'INTERACTION-PAGE'!U71)</f>
        <v/>
      </c>
      <c r="V71" s="92" t="str">
        <f>IF('INTERACTION-PAGE'!V71="","",'INTERACTION-PAGE'!V71)</f>
        <v/>
      </c>
      <c r="W71" s="92" t="str">
        <f>IF('INTERACTION-PAGE'!W71="","",'INTERACTION-PAGE'!W71)</f>
        <v/>
      </c>
      <c r="X71" s="92" t="str">
        <f>IF('INTERACTION-PAGE'!X71="","",'INTERACTION-PAGE'!X71)</f>
        <v/>
      </c>
      <c r="Y71" s="167" t="str">
        <f t="shared" si="6"/>
        <v/>
      </c>
      <c r="Z71" s="167" t="str">
        <f t="shared" ref="Z71:AD71" si="65">IF(OR( $B71="", $B71="AB", $B71="UR", $C71="", $C71="AB", $C71="UR", $D71="AB", $D71="UR"),"",(IF(OR(E$10&gt;0,J$10&gt;0,O$10&gt;0,T$10&gt;0),(Z$10*(IF(AND(E$10&gt;0), IF(OR(E71="", E71="AB",E71="UR"),0,E71),0) +IF(AND(J$10&gt;0), IF(OR(J71="",J71="AB",J71=""),0,J71),0)+IF(AND(O$10&gt;0), IF(OR(O71="", O71="AB",O71="UR"),0,O71),0)+IF(AND(T$10&gt;0), IF(OR(T71="",T71="AB",T71="UR"),0,T71),0))/(E$10+J$10+O$10+T$10))," ")))</f>
        <v/>
      </c>
      <c r="AA71" s="167" t="str">
        <f t="shared" si="65"/>
        <v/>
      </c>
      <c r="AB71" s="167" t="str">
        <f t="shared" si="65"/>
        <v/>
      </c>
      <c r="AC71" s="167" t="str">
        <f t="shared" si="65"/>
        <v/>
      </c>
      <c r="AD71" s="167" t="str">
        <f t="shared" si="65"/>
        <v/>
      </c>
      <c r="AE71" s="168" t="str">
        <f t="shared" si="5"/>
        <v/>
      </c>
      <c r="AF71" s="29"/>
    </row>
    <row r="72" ht="15.0" customHeight="1">
      <c r="A72" s="79">
        <v>62.0</v>
      </c>
      <c r="B72" s="92" t="str">
        <f>IF('INTERACTION-PAGE'!#REF!="","",'INTERACTION-PAGE'!#REF!)</f>
        <v>#ERROR!</v>
      </c>
      <c r="C72" s="92" t="str">
        <f>IF('INTERACTION-PAGE'!#REF!="","",'INTERACTION-PAGE'!#REF!)</f>
        <v>#ERROR!</v>
      </c>
      <c r="D72" s="92" t="str">
        <f>IF('INTERACTION-PAGE'!#REF!="","",'INTERACTION-PAGE'!#REF!)</f>
        <v>#ERROR!</v>
      </c>
      <c r="E72" s="92" t="str">
        <f>IF('INTERACTION-PAGE'!#REF!="","",'INTERACTION-PAGE'!#REF!)</f>
        <v>#ERROR!</v>
      </c>
      <c r="F72" s="92" t="str">
        <f>IF('INTERACTION-PAGE'!#REF!="","",'INTERACTION-PAGE'!#REF!)</f>
        <v>#ERROR!</v>
      </c>
      <c r="G72" s="92" t="str">
        <f>IF('INTERACTION-PAGE'!#REF!="","",'INTERACTION-PAGE'!#REF!)</f>
        <v>#ERROR!</v>
      </c>
      <c r="H72" s="92" t="str">
        <f>IF('INTERACTION-PAGE'!#REF!="","",'INTERACTION-PAGE'!#REF!)</f>
        <v>#ERROR!</v>
      </c>
      <c r="I72" s="92" t="str">
        <f>IF('INTERACTION-PAGE'!#REF!="","",'INTERACTION-PAGE'!#REF!)</f>
        <v>#ERROR!</v>
      </c>
      <c r="J72" s="92" t="str">
        <f>IF('INTERACTION-PAGE'!#REF!="","",'INTERACTION-PAGE'!#REF!)</f>
        <v>#ERROR!</v>
      </c>
      <c r="K72" s="92" t="str">
        <f>IF('INTERACTION-PAGE'!#REF!="","",'INTERACTION-PAGE'!#REF!)</f>
        <v>#ERROR!</v>
      </c>
      <c r="L72" s="92" t="str">
        <f>IF('INTERACTION-PAGE'!#REF!="","",'INTERACTION-PAGE'!#REF!)</f>
        <v>#ERROR!</v>
      </c>
      <c r="M72" s="92" t="str">
        <f>IF('INTERACTION-PAGE'!#REF!="","",'INTERACTION-PAGE'!#REF!)</f>
        <v>#ERROR!</v>
      </c>
      <c r="N72" s="92" t="str">
        <f>IF('INTERACTION-PAGE'!#REF!="","",'INTERACTION-PAGE'!#REF!)</f>
        <v>#ERROR!</v>
      </c>
      <c r="O72" s="92" t="str">
        <f>IF('INTERACTION-PAGE'!#REF!="","",'INTERACTION-PAGE'!#REF!)</f>
        <v>#ERROR!</v>
      </c>
      <c r="P72" s="92" t="str">
        <f>IF('INTERACTION-PAGE'!#REF!="","",'INTERACTION-PAGE'!#REF!)</f>
        <v>#ERROR!</v>
      </c>
      <c r="Q72" s="92" t="str">
        <f>IF('INTERACTION-PAGE'!#REF!="","",'INTERACTION-PAGE'!#REF!)</f>
        <v>#ERROR!</v>
      </c>
      <c r="R72" s="92" t="str">
        <f>IF('INTERACTION-PAGE'!#REF!="","",'INTERACTION-PAGE'!#REF!)</f>
        <v>#ERROR!</v>
      </c>
      <c r="S72" s="92" t="str">
        <f>IF('INTERACTION-PAGE'!#REF!="","",'INTERACTION-PAGE'!#REF!)</f>
        <v>#ERROR!</v>
      </c>
      <c r="T72" s="92" t="str">
        <f>IF('INTERACTION-PAGE'!#REF!="","",'INTERACTION-PAGE'!#REF!)</f>
        <v>#ERROR!</v>
      </c>
      <c r="U72" s="92" t="str">
        <f>IF('INTERACTION-PAGE'!#REF!="","",'INTERACTION-PAGE'!#REF!)</f>
        <v>#ERROR!</v>
      </c>
      <c r="V72" s="92" t="str">
        <f>IF('INTERACTION-PAGE'!#REF!="","",'INTERACTION-PAGE'!#REF!)</f>
        <v>#ERROR!</v>
      </c>
      <c r="W72" s="92" t="str">
        <f>IF('INTERACTION-PAGE'!#REF!="","",'INTERACTION-PAGE'!#REF!)</f>
        <v>#ERROR!</v>
      </c>
      <c r="X72" s="92" t="str">
        <f>IF('INTERACTION-PAGE'!#REF!="","",'INTERACTION-PAGE'!#REF!)</f>
        <v>#ERROR!</v>
      </c>
      <c r="Y72" s="167" t="str">
        <f t="shared" si="6"/>
        <v>#ERROR!</v>
      </c>
      <c r="Z72" s="167" t="str">
        <f t="shared" ref="Z72:AD72" si="66">IF(OR( $B72="", $B72="AB", $B72="UR", $C72="", $C72="AB", $C72="UR", $D72="AB", $D72="UR"),"",(IF(OR(E$10&gt;0,J$10&gt;0,O$10&gt;0,T$10&gt;0),(Z$10*(IF(AND(E$10&gt;0), IF(OR(E72="", E72="AB",E72="UR"),0,E72),0) +IF(AND(J$10&gt;0), IF(OR(J72="",J72="AB",J72=""),0,J72),0)+IF(AND(O$10&gt;0), IF(OR(O72="", O72="AB",O72="UR"),0,O72),0)+IF(AND(T$10&gt;0), IF(OR(T72="",T72="AB",T72="UR"),0,T72),0))/(E$10+J$10+O$10+T$10))," ")))</f>
        <v>#ERROR!</v>
      </c>
      <c r="AA72" s="167" t="str">
        <f t="shared" si="66"/>
        <v>#ERROR!</v>
      </c>
      <c r="AB72" s="167" t="str">
        <f t="shared" si="66"/>
        <v>#ERROR!</v>
      </c>
      <c r="AC72" s="167" t="str">
        <f t="shared" si="66"/>
        <v>#ERROR!</v>
      </c>
      <c r="AD72" s="167" t="str">
        <f t="shared" si="66"/>
        <v>#ERROR!</v>
      </c>
      <c r="AE72" s="168" t="str">
        <f t="shared" si="5"/>
        <v>#ERROR!</v>
      </c>
      <c r="AF72" s="29"/>
    </row>
    <row r="73" ht="15.0" customHeight="1">
      <c r="A73" s="65">
        <v>63.0</v>
      </c>
      <c r="B73" s="92" t="str">
        <f>IF('INTERACTION-PAGE'!#REF!="","",'INTERACTION-PAGE'!#REF!)</f>
        <v>#ERROR!</v>
      </c>
      <c r="C73" s="92" t="str">
        <f>IF('INTERACTION-PAGE'!#REF!="","",'INTERACTION-PAGE'!#REF!)</f>
        <v>#ERROR!</v>
      </c>
      <c r="D73" s="92" t="str">
        <f>IF('INTERACTION-PAGE'!#REF!="","",'INTERACTION-PAGE'!#REF!)</f>
        <v>#ERROR!</v>
      </c>
      <c r="E73" s="92" t="str">
        <f>IF('INTERACTION-PAGE'!#REF!="","",'INTERACTION-PAGE'!#REF!)</f>
        <v>#ERROR!</v>
      </c>
      <c r="F73" s="92" t="str">
        <f>IF('INTERACTION-PAGE'!#REF!="","",'INTERACTION-PAGE'!#REF!)</f>
        <v>#ERROR!</v>
      </c>
      <c r="G73" s="92" t="str">
        <f>IF('INTERACTION-PAGE'!#REF!="","",'INTERACTION-PAGE'!#REF!)</f>
        <v>#ERROR!</v>
      </c>
      <c r="H73" s="92" t="str">
        <f>IF('INTERACTION-PAGE'!#REF!="","",'INTERACTION-PAGE'!#REF!)</f>
        <v>#ERROR!</v>
      </c>
      <c r="I73" s="92" t="str">
        <f>IF('INTERACTION-PAGE'!#REF!="","",'INTERACTION-PAGE'!#REF!)</f>
        <v>#ERROR!</v>
      </c>
      <c r="J73" s="92" t="str">
        <f>IF('INTERACTION-PAGE'!#REF!="","",'INTERACTION-PAGE'!#REF!)</f>
        <v>#ERROR!</v>
      </c>
      <c r="K73" s="92" t="str">
        <f>IF('INTERACTION-PAGE'!#REF!="","",'INTERACTION-PAGE'!#REF!)</f>
        <v>#ERROR!</v>
      </c>
      <c r="L73" s="92" t="str">
        <f>IF('INTERACTION-PAGE'!#REF!="","",'INTERACTION-PAGE'!#REF!)</f>
        <v>#ERROR!</v>
      </c>
      <c r="M73" s="92" t="str">
        <f>IF('INTERACTION-PAGE'!#REF!="","",'INTERACTION-PAGE'!#REF!)</f>
        <v>#ERROR!</v>
      </c>
      <c r="N73" s="92" t="str">
        <f>IF('INTERACTION-PAGE'!#REF!="","",'INTERACTION-PAGE'!#REF!)</f>
        <v>#ERROR!</v>
      </c>
      <c r="O73" s="92" t="str">
        <f>IF('INTERACTION-PAGE'!#REF!="","",'INTERACTION-PAGE'!#REF!)</f>
        <v>#ERROR!</v>
      </c>
      <c r="P73" s="92" t="str">
        <f>IF('INTERACTION-PAGE'!#REF!="","",'INTERACTION-PAGE'!#REF!)</f>
        <v>#ERROR!</v>
      </c>
      <c r="Q73" s="92" t="str">
        <f>IF('INTERACTION-PAGE'!#REF!="","",'INTERACTION-PAGE'!#REF!)</f>
        <v>#ERROR!</v>
      </c>
      <c r="R73" s="92" t="str">
        <f>IF('INTERACTION-PAGE'!#REF!="","",'INTERACTION-PAGE'!#REF!)</f>
        <v>#ERROR!</v>
      </c>
      <c r="S73" s="92" t="str">
        <f>IF('INTERACTION-PAGE'!#REF!="","",'INTERACTION-PAGE'!#REF!)</f>
        <v>#ERROR!</v>
      </c>
      <c r="T73" s="92" t="str">
        <f>IF('INTERACTION-PAGE'!#REF!="","",'INTERACTION-PAGE'!#REF!)</f>
        <v>#ERROR!</v>
      </c>
      <c r="U73" s="92" t="str">
        <f>IF('INTERACTION-PAGE'!#REF!="","",'INTERACTION-PAGE'!#REF!)</f>
        <v>#ERROR!</v>
      </c>
      <c r="V73" s="92" t="str">
        <f>IF('INTERACTION-PAGE'!#REF!="","",'INTERACTION-PAGE'!#REF!)</f>
        <v>#ERROR!</v>
      </c>
      <c r="W73" s="92" t="str">
        <f>IF('INTERACTION-PAGE'!#REF!="","",'INTERACTION-PAGE'!#REF!)</f>
        <v>#ERROR!</v>
      </c>
      <c r="X73" s="92" t="str">
        <f>IF('INTERACTION-PAGE'!#REF!="","",'INTERACTION-PAGE'!#REF!)</f>
        <v>#ERROR!</v>
      </c>
      <c r="Y73" s="167" t="str">
        <f t="shared" si="6"/>
        <v>#ERROR!</v>
      </c>
      <c r="Z73" s="167" t="str">
        <f t="shared" ref="Z73:AD73" si="67">IF(OR( $B73="", $B73="AB", $B73="UR", $C73="", $C73="AB", $C73="UR", $D73="AB", $D73="UR"),"",(IF(OR(E$10&gt;0,J$10&gt;0,O$10&gt;0,T$10&gt;0),(Z$10*(IF(AND(E$10&gt;0), IF(OR(E73="", E73="AB",E73="UR"),0,E73),0) +IF(AND(J$10&gt;0), IF(OR(J73="",J73="AB",J73=""),0,J73),0)+IF(AND(O$10&gt;0), IF(OR(O73="", O73="AB",O73="UR"),0,O73),0)+IF(AND(T$10&gt;0), IF(OR(T73="",T73="AB",T73="UR"),0,T73),0))/(E$10+J$10+O$10+T$10))," ")))</f>
        <v>#ERROR!</v>
      </c>
      <c r="AA73" s="167" t="str">
        <f t="shared" si="67"/>
        <v>#ERROR!</v>
      </c>
      <c r="AB73" s="167" t="str">
        <f t="shared" si="67"/>
        <v>#ERROR!</v>
      </c>
      <c r="AC73" s="167" t="str">
        <f t="shared" si="67"/>
        <v>#ERROR!</v>
      </c>
      <c r="AD73" s="167" t="str">
        <f t="shared" si="67"/>
        <v>#ERROR!</v>
      </c>
      <c r="AE73" s="168" t="str">
        <f t="shared" si="5"/>
        <v>#ERROR!</v>
      </c>
      <c r="AF73" s="29"/>
    </row>
    <row r="74" ht="15.0" customHeight="1">
      <c r="A74" s="79">
        <v>64.0</v>
      </c>
      <c r="B74" s="92" t="str">
        <f>IF('INTERACTION-PAGE'!#REF!="","",'INTERACTION-PAGE'!#REF!)</f>
        <v>#ERROR!</v>
      </c>
      <c r="C74" s="92" t="str">
        <f>IF('INTERACTION-PAGE'!#REF!="","",'INTERACTION-PAGE'!#REF!)</f>
        <v>#ERROR!</v>
      </c>
      <c r="D74" s="92" t="str">
        <f>IF('INTERACTION-PAGE'!#REF!="","",'INTERACTION-PAGE'!#REF!)</f>
        <v>#ERROR!</v>
      </c>
      <c r="E74" s="92" t="str">
        <f>IF('INTERACTION-PAGE'!#REF!="","",'INTERACTION-PAGE'!#REF!)</f>
        <v>#ERROR!</v>
      </c>
      <c r="F74" s="92" t="str">
        <f>IF('INTERACTION-PAGE'!#REF!="","",'INTERACTION-PAGE'!#REF!)</f>
        <v>#ERROR!</v>
      </c>
      <c r="G74" s="92" t="str">
        <f>IF('INTERACTION-PAGE'!#REF!="","",'INTERACTION-PAGE'!#REF!)</f>
        <v>#ERROR!</v>
      </c>
      <c r="H74" s="92" t="str">
        <f>IF('INTERACTION-PAGE'!#REF!="","",'INTERACTION-PAGE'!#REF!)</f>
        <v>#ERROR!</v>
      </c>
      <c r="I74" s="92" t="str">
        <f>IF('INTERACTION-PAGE'!#REF!="","",'INTERACTION-PAGE'!#REF!)</f>
        <v>#ERROR!</v>
      </c>
      <c r="J74" s="92" t="str">
        <f>IF('INTERACTION-PAGE'!#REF!="","",'INTERACTION-PAGE'!#REF!)</f>
        <v>#ERROR!</v>
      </c>
      <c r="K74" s="92" t="str">
        <f>IF('INTERACTION-PAGE'!#REF!="","",'INTERACTION-PAGE'!#REF!)</f>
        <v>#ERROR!</v>
      </c>
      <c r="L74" s="92" t="str">
        <f>IF('INTERACTION-PAGE'!#REF!="","",'INTERACTION-PAGE'!#REF!)</f>
        <v>#ERROR!</v>
      </c>
      <c r="M74" s="92" t="str">
        <f>IF('INTERACTION-PAGE'!#REF!="","",'INTERACTION-PAGE'!#REF!)</f>
        <v>#ERROR!</v>
      </c>
      <c r="N74" s="92" t="str">
        <f>IF('INTERACTION-PAGE'!#REF!="","",'INTERACTION-PAGE'!#REF!)</f>
        <v>#ERROR!</v>
      </c>
      <c r="O74" s="92" t="str">
        <f>IF('INTERACTION-PAGE'!#REF!="","",'INTERACTION-PAGE'!#REF!)</f>
        <v>#ERROR!</v>
      </c>
      <c r="P74" s="92" t="str">
        <f>IF('INTERACTION-PAGE'!#REF!="","",'INTERACTION-PAGE'!#REF!)</f>
        <v>#ERROR!</v>
      </c>
      <c r="Q74" s="92" t="str">
        <f>IF('INTERACTION-PAGE'!#REF!="","",'INTERACTION-PAGE'!#REF!)</f>
        <v>#ERROR!</v>
      </c>
      <c r="R74" s="92" t="str">
        <f>IF('INTERACTION-PAGE'!#REF!="","",'INTERACTION-PAGE'!#REF!)</f>
        <v>#ERROR!</v>
      </c>
      <c r="S74" s="92" t="str">
        <f>IF('INTERACTION-PAGE'!#REF!="","",'INTERACTION-PAGE'!#REF!)</f>
        <v>#ERROR!</v>
      </c>
      <c r="T74" s="92" t="str">
        <f>IF('INTERACTION-PAGE'!#REF!="","",'INTERACTION-PAGE'!#REF!)</f>
        <v>#ERROR!</v>
      </c>
      <c r="U74" s="92" t="str">
        <f>IF('INTERACTION-PAGE'!#REF!="","",'INTERACTION-PAGE'!#REF!)</f>
        <v>#ERROR!</v>
      </c>
      <c r="V74" s="92" t="str">
        <f>IF('INTERACTION-PAGE'!#REF!="","",'INTERACTION-PAGE'!#REF!)</f>
        <v>#ERROR!</v>
      </c>
      <c r="W74" s="92" t="str">
        <f>IF('INTERACTION-PAGE'!#REF!="","",'INTERACTION-PAGE'!#REF!)</f>
        <v>#ERROR!</v>
      </c>
      <c r="X74" s="92" t="str">
        <f>IF('INTERACTION-PAGE'!#REF!="","",'INTERACTION-PAGE'!#REF!)</f>
        <v>#ERROR!</v>
      </c>
      <c r="Y74" s="167" t="str">
        <f t="shared" si="6"/>
        <v>#ERROR!</v>
      </c>
      <c r="Z74" s="167" t="str">
        <f t="shared" ref="Z74:AD74" si="68">IF(OR( $B74="", $B74="AB", $B74="UR", $C74="", $C74="AB", $C74="UR", $D74="AB", $D74="UR"),"",(IF(OR(E$10&gt;0,J$10&gt;0,O$10&gt;0,T$10&gt;0),(Z$10*(IF(AND(E$10&gt;0), IF(OR(E74="", E74="AB",E74="UR"),0,E74),0) +IF(AND(J$10&gt;0), IF(OR(J74="",J74="AB",J74=""),0,J74),0)+IF(AND(O$10&gt;0), IF(OR(O74="", O74="AB",O74="UR"),0,O74),0)+IF(AND(T$10&gt;0), IF(OR(T74="",T74="AB",T74="UR"),0,T74),0))/(E$10+J$10+O$10+T$10))," ")))</f>
        <v>#ERROR!</v>
      </c>
      <c r="AA74" s="167" t="str">
        <f t="shared" si="68"/>
        <v>#ERROR!</v>
      </c>
      <c r="AB74" s="167" t="str">
        <f t="shared" si="68"/>
        <v>#ERROR!</v>
      </c>
      <c r="AC74" s="167" t="str">
        <f t="shared" si="68"/>
        <v>#ERROR!</v>
      </c>
      <c r="AD74" s="167" t="str">
        <f t="shared" si="68"/>
        <v>#ERROR!</v>
      </c>
      <c r="AE74" s="168" t="str">
        <f t="shared" si="5"/>
        <v>#ERROR!</v>
      </c>
      <c r="AF74" s="29"/>
    </row>
    <row r="75" ht="15.0" customHeight="1">
      <c r="A75" s="65">
        <v>65.0</v>
      </c>
      <c r="B75" s="92" t="str">
        <f>IF('INTERACTION-PAGE'!#REF!="","",'INTERACTION-PAGE'!#REF!)</f>
        <v>#ERROR!</v>
      </c>
      <c r="C75" s="92" t="str">
        <f>IF('INTERACTION-PAGE'!#REF!="","",'INTERACTION-PAGE'!#REF!)</f>
        <v>#ERROR!</v>
      </c>
      <c r="D75" s="92" t="str">
        <f>IF('INTERACTION-PAGE'!#REF!="","",'INTERACTION-PAGE'!#REF!)</f>
        <v>#ERROR!</v>
      </c>
      <c r="E75" s="92" t="str">
        <f>IF('INTERACTION-PAGE'!#REF!="","",'INTERACTION-PAGE'!#REF!)</f>
        <v>#ERROR!</v>
      </c>
      <c r="F75" s="92" t="str">
        <f>IF('INTERACTION-PAGE'!#REF!="","",'INTERACTION-PAGE'!#REF!)</f>
        <v>#ERROR!</v>
      </c>
      <c r="G75" s="92" t="str">
        <f>IF('INTERACTION-PAGE'!#REF!="","",'INTERACTION-PAGE'!#REF!)</f>
        <v>#ERROR!</v>
      </c>
      <c r="H75" s="92" t="str">
        <f>IF('INTERACTION-PAGE'!#REF!="","",'INTERACTION-PAGE'!#REF!)</f>
        <v>#ERROR!</v>
      </c>
      <c r="I75" s="92" t="str">
        <f>IF('INTERACTION-PAGE'!#REF!="","",'INTERACTION-PAGE'!#REF!)</f>
        <v>#ERROR!</v>
      </c>
      <c r="J75" s="92" t="str">
        <f>IF('INTERACTION-PAGE'!#REF!="","",'INTERACTION-PAGE'!#REF!)</f>
        <v>#ERROR!</v>
      </c>
      <c r="K75" s="92" t="str">
        <f>IF('INTERACTION-PAGE'!#REF!="","",'INTERACTION-PAGE'!#REF!)</f>
        <v>#ERROR!</v>
      </c>
      <c r="L75" s="92" t="str">
        <f>IF('INTERACTION-PAGE'!#REF!="","",'INTERACTION-PAGE'!#REF!)</f>
        <v>#ERROR!</v>
      </c>
      <c r="M75" s="92" t="str">
        <f>IF('INTERACTION-PAGE'!#REF!="","",'INTERACTION-PAGE'!#REF!)</f>
        <v>#ERROR!</v>
      </c>
      <c r="N75" s="92" t="str">
        <f>IF('INTERACTION-PAGE'!#REF!="","",'INTERACTION-PAGE'!#REF!)</f>
        <v>#ERROR!</v>
      </c>
      <c r="O75" s="92" t="str">
        <f>IF('INTERACTION-PAGE'!#REF!="","",'INTERACTION-PAGE'!#REF!)</f>
        <v>#ERROR!</v>
      </c>
      <c r="P75" s="92" t="str">
        <f>IF('INTERACTION-PAGE'!#REF!="","",'INTERACTION-PAGE'!#REF!)</f>
        <v>#ERROR!</v>
      </c>
      <c r="Q75" s="92" t="str">
        <f>IF('INTERACTION-PAGE'!#REF!="","",'INTERACTION-PAGE'!#REF!)</f>
        <v>#ERROR!</v>
      </c>
      <c r="R75" s="92" t="str">
        <f>IF('INTERACTION-PAGE'!#REF!="","",'INTERACTION-PAGE'!#REF!)</f>
        <v>#ERROR!</v>
      </c>
      <c r="S75" s="92" t="str">
        <f>IF('INTERACTION-PAGE'!#REF!="","",'INTERACTION-PAGE'!#REF!)</f>
        <v>#ERROR!</v>
      </c>
      <c r="T75" s="92" t="str">
        <f>IF('INTERACTION-PAGE'!#REF!="","",'INTERACTION-PAGE'!#REF!)</f>
        <v>#ERROR!</v>
      </c>
      <c r="U75" s="92" t="str">
        <f>IF('INTERACTION-PAGE'!#REF!="","",'INTERACTION-PAGE'!#REF!)</f>
        <v>#ERROR!</v>
      </c>
      <c r="V75" s="92" t="str">
        <f>IF('INTERACTION-PAGE'!#REF!="","",'INTERACTION-PAGE'!#REF!)</f>
        <v>#ERROR!</v>
      </c>
      <c r="W75" s="92" t="str">
        <f>IF('INTERACTION-PAGE'!#REF!="","",'INTERACTION-PAGE'!#REF!)</f>
        <v>#ERROR!</v>
      </c>
      <c r="X75" s="92" t="str">
        <f>IF('INTERACTION-PAGE'!#REF!="","",'INTERACTION-PAGE'!#REF!)</f>
        <v>#ERROR!</v>
      </c>
      <c r="Y75" s="167" t="str">
        <f t="shared" si="6"/>
        <v>#ERROR!</v>
      </c>
      <c r="Z75" s="167" t="str">
        <f t="shared" ref="Z75:AD75" si="69">IF(OR( $B75="", $B75="AB", $B75="UR", $C75="", $C75="AB", $C75="UR", $D75="AB", $D75="UR"),"",(IF(OR(E$10&gt;0,J$10&gt;0,O$10&gt;0,T$10&gt;0),(Z$10*(IF(AND(E$10&gt;0), IF(OR(E75="", E75="AB",E75="UR"),0,E75),0) +IF(AND(J$10&gt;0), IF(OR(J75="",J75="AB",J75=""),0,J75),0)+IF(AND(O$10&gt;0), IF(OR(O75="", O75="AB",O75="UR"),0,O75),0)+IF(AND(T$10&gt;0), IF(OR(T75="",T75="AB",T75="UR"),0,T75),0))/(E$10+J$10+O$10+T$10))," ")))</f>
        <v>#ERROR!</v>
      </c>
      <c r="AA75" s="167" t="str">
        <f t="shared" si="69"/>
        <v>#ERROR!</v>
      </c>
      <c r="AB75" s="167" t="str">
        <f t="shared" si="69"/>
        <v>#ERROR!</v>
      </c>
      <c r="AC75" s="167" t="str">
        <f t="shared" si="69"/>
        <v>#ERROR!</v>
      </c>
      <c r="AD75" s="167" t="str">
        <f t="shared" si="69"/>
        <v>#ERROR!</v>
      </c>
      <c r="AE75" s="168" t="str">
        <f t="shared" si="5"/>
        <v>#ERROR!</v>
      </c>
      <c r="AF75" s="29"/>
    </row>
    <row r="76" ht="15.0" customHeight="1">
      <c r="A76" s="79">
        <v>66.0</v>
      </c>
      <c r="B76" s="92" t="str">
        <f>IF('INTERACTION-PAGE'!#REF!="","",'INTERACTION-PAGE'!#REF!)</f>
        <v>#ERROR!</v>
      </c>
      <c r="C76" s="92" t="str">
        <f>IF('INTERACTION-PAGE'!#REF!="","",'INTERACTION-PAGE'!#REF!)</f>
        <v>#ERROR!</v>
      </c>
      <c r="D76" s="92" t="str">
        <f>IF('INTERACTION-PAGE'!#REF!="","",'INTERACTION-PAGE'!#REF!)</f>
        <v>#ERROR!</v>
      </c>
      <c r="E76" s="92" t="str">
        <f>IF('INTERACTION-PAGE'!#REF!="","",'INTERACTION-PAGE'!#REF!)</f>
        <v>#ERROR!</v>
      </c>
      <c r="F76" s="92" t="str">
        <f>IF('INTERACTION-PAGE'!#REF!="","",'INTERACTION-PAGE'!#REF!)</f>
        <v>#ERROR!</v>
      </c>
      <c r="G76" s="92" t="str">
        <f>IF('INTERACTION-PAGE'!#REF!="","",'INTERACTION-PAGE'!#REF!)</f>
        <v>#ERROR!</v>
      </c>
      <c r="H76" s="92" t="str">
        <f>IF('INTERACTION-PAGE'!#REF!="","",'INTERACTION-PAGE'!#REF!)</f>
        <v>#ERROR!</v>
      </c>
      <c r="I76" s="92" t="str">
        <f>IF('INTERACTION-PAGE'!#REF!="","",'INTERACTION-PAGE'!#REF!)</f>
        <v>#ERROR!</v>
      </c>
      <c r="J76" s="92" t="str">
        <f>IF('INTERACTION-PAGE'!#REF!="","",'INTERACTION-PAGE'!#REF!)</f>
        <v>#ERROR!</v>
      </c>
      <c r="K76" s="92" t="str">
        <f>IF('INTERACTION-PAGE'!#REF!="","",'INTERACTION-PAGE'!#REF!)</f>
        <v>#ERROR!</v>
      </c>
      <c r="L76" s="92" t="str">
        <f>IF('INTERACTION-PAGE'!#REF!="","",'INTERACTION-PAGE'!#REF!)</f>
        <v>#ERROR!</v>
      </c>
      <c r="M76" s="92" t="str">
        <f>IF('INTERACTION-PAGE'!#REF!="","",'INTERACTION-PAGE'!#REF!)</f>
        <v>#ERROR!</v>
      </c>
      <c r="N76" s="92" t="str">
        <f>IF('INTERACTION-PAGE'!#REF!="","",'INTERACTION-PAGE'!#REF!)</f>
        <v>#ERROR!</v>
      </c>
      <c r="O76" s="92" t="str">
        <f>IF('INTERACTION-PAGE'!#REF!="","",'INTERACTION-PAGE'!#REF!)</f>
        <v>#ERROR!</v>
      </c>
      <c r="P76" s="92" t="str">
        <f>IF('INTERACTION-PAGE'!#REF!="","",'INTERACTION-PAGE'!#REF!)</f>
        <v>#ERROR!</v>
      </c>
      <c r="Q76" s="92" t="str">
        <f>IF('INTERACTION-PAGE'!#REF!="","",'INTERACTION-PAGE'!#REF!)</f>
        <v>#ERROR!</v>
      </c>
      <c r="R76" s="92" t="str">
        <f>IF('INTERACTION-PAGE'!#REF!="","",'INTERACTION-PAGE'!#REF!)</f>
        <v>#ERROR!</v>
      </c>
      <c r="S76" s="92" t="str">
        <f>IF('INTERACTION-PAGE'!#REF!="","",'INTERACTION-PAGE'!#REF!)</f>
        <v>#ERROR!</v>
      </c>
      <c r="T76" s="92" t="str">
        <f>IF('INTERACTION-PAGE'!#REF!="","",'INTERACTION-PAGE'!#REF!)</f>
        <v>#ERROR!</v>
      </c>
      <c r="U76" s="92" t="str">
        <f>IF('INTERACTION-PAGE'!#REF!="","",'INTERACTION-PAGE'!#REF!)</f>
        <v>#ERROR!</v>
      </c>
      <c r="V76" s="92" t="str">
        <f>IF('INTERACTION-PAGE'!#REF!="","",'INTERACTION-PAGE'!#REF!)</f>
        <v>#ERROR!</v>
      </c>
      <c r="W76" s="92" t="str">
        <f>IF('INTERACTION-PAGE'!#REF!="","",'INTERACTION-PAGE'!#REF!)</f>
        <v>#ERROR!</v>
      </c>
      <c r="X76" s="92" t="str">
        <f>IF('INTERACTION-PAGE'!#REF!="","",'INTERACTION-PAGE'!#REF!)</f>
        <v>#ERROR!</v>
      </c>
      <c r="Y76" s="167" t="str">
        <f t="shared" si="6"/>
        <v>#ERROR!</v>
      </c>
      <c r="Z76" s="167" t="str">
        <f t="shared" ref="Z76:AD76" si="70">IF(OR( $B76="", $B76="AB", $B76="UR", $C76="", $C76="AB", $C76="UR", $D76="AB", $D76="UR"),"",(IF(OR(E$10&gt;0,J$10&gt;0,O$10&gt;0,T$10&gt;0),(Z$10*(IF(AND(E$10&gt;0), IF(OR(E76="", E76="AB",E76="UR"),0,E76),0) +IF(AND(J$10&gt;0), IF(OR(J76="",J76="AB",J76=""),0,J76),0)+IF(AND(O$10&gt;0), IF(OR(O76="", O76="AB",O76="UR"),0,O76),0)+IF(AND(T$10&gt;0), IF(OR(T76="",T76="AB",T76="UR"),0,T76),0))/(E$10+J$10+O$10+T$10))," ")))</f>
        <v>#ERROR!</v>
      </c>
      <c r="AA76" s="167" t="str">
        <f t="shared" si="70"/>
        <v>#ERROR!</v>
      </c>
      <c r="AB76" s="167" t="str">
        <f t="shared" si="70"/>
        <v>#ERROR!</v>
      </c>
      <c r="AC76" s="167" t="str">
        <f t="shared" si="70"/>
        <v>#ERROR!</v>
      </c>
      <c r="AD76" s="167" t="str">
        <f t="shared" si="70"/>
        <v>#ERROR!</v>
      </c>
      <c r="AE76" s="168" t="str">
        <f t="shared" si="5"/>
        <v>#ERROR!</v>
      </c>
      <c r="AF76" s="29"/>
    </row>
    <row r="77" ht="15.0" customHeight="1">
      <c r="A77" s="65">
        <v>67.0</v>
      </c>
      <c r="B77" s="92" t="str">
        <f>IF('INTERACTION-PAGE'!#REF!="","",'INTERACTION-PAGE'!#REF!)</f>
        <v>#ERROR!</v>
      </c>
      <c r="C77" s="92" t="str">
        <f>IF('INTERACTION-PAGE'!#REF!="","",'INTERACTION-PAGE'!#REF!)</f>
        <v>#ERROR!</v>
      </c>
      <c r="D77" s="92" t="str">
        <f>IF('INTERACTION-PAGE'!#REF!="","",'INTERACTION-PAGE'!#REF!)</f>
        <v>#ERROR!</v>
      </c>
      <c r="E77" s="92" t="str">
        <f>IF('INTERACTION-PAGE'!#REF!="","",'INTERACTION-PAGE'!#REF!)</f>
        <v>#ERROR!</v>
      </c>
      <c r="F77" s="92" t="str">
        <f>IF('INTERACTION-PAGE'!#REF!="","",'INTERACTION-PAGE'!#REF!)</f>
        <v>#ERROR!</v>
      </c>
      <c r="G77" s="92" t="str">
        <f>IF('INTERACTION-PAGE'!#REF!="","",'INTERACTION-PAGE'!#REF!)</f>
        <v>#ERROR!</v>
      </c>
      <c r="H77" s="92" t="str">
        <f>IF('INTERACTION-PAGE'!#REF!="","",'INTERACTION-PAGE'!#REF!)</f>
        <v>#ERROR!</v>
      </c>
      <c r="I77" s="92" t="str">
        <f>IF('INTERACTION-PAGE'!#REF!="","",'INTERACTION-PAGE'!#REF!)</f>
        <v>#ERROR!</v>
      </c>
      <c r="J77" s="92" t="str">
        <f>IF('INTERACTION-PAGE'!#REF!="","",'INTERACTION-PAGE'!#REF!)</f>
        <v>#ERROR!</v>
      </c>
      <c r="K77" s="92" t="str">
        <f>IF('INTERACTION-PAGE'!#REF!="","",'INTERACTION-PAGE'!#REF!)</f>
        <v>#ERROR!</v>
      </c>
      <c r="L77" s="92" t="str">
        <f>IF('INTERACTION-PAGE'!#REF!="","",'INTERACTION-PAGE'!#REF!)</f>
        <v>#ERROR!</v>
      </c>
      <c r="M77" s="92" t="str">
        <f>IF('INTERACTION-PAGE'!#REF!="","",'INTERACTION-PAGE'!#REF!)</f>
        <v>#ERROR!</v>
      </c>
      <c r="N77" s="92" t="str">
        <f>IF('INTERACTION-PAGE'!#REF!="","",'INTERACTION-PAGE'!#REF!)</f>
        <v>#ERROR!</v>
      </c>
      <c r="O77" s="92" t="str">
        <f>IF('INTERACTION-PAGE'!#REF!="","",'INTERACTION-PAGE'!#REF!)</f>
        <v>#ERROR!</v>
      </c>
      <c r="P77" s="92" t="str">
        <f>IF('INTERACTION-PAGE'!#REF!="","",'INTERACTION-PAGE'!#REF!)</f>
        <v>#ERROR!</v>
      </c>
      <c r="Q77" s="92" t="str">
        <f>IF('INTERACTION-PAGE'!#REF!="","",'INTERACTION-PAGE'!#REF!)</f>
        <v>#ERROR!</v>
      </c>
      <c r="R77" s="92" t="str">
        <f>IF('INTERACTION-PAGE'!#REF!="","",'INTERACTION-PAGE'!#REF!)</f>
        <v>#ERROR!</v>
      </c>
      <c r="S77" s="92" t="str">
        <f>IF('INTERACTION-PAGE'!#REF!="","",'INTERACTION-PAGE'!#REF!)</f>
        <v>#ERROR!</v>
      </c>
      <c r="T77" s="92" t="str">
        <f>IF('INTERACTION-PAGE'!#REF!="","",'INTERACTION-PAGE'!#REF!)</f>
        <v>#ERROR!</v>
      </c>
      <c r="U77" s="92" t="str">
        <f>IF('INTERACTION-PAGE'!#REF!="","",'INTERACTION-PAGE'!#REF!)</f>
        <v>#ERROR!</v>
      </c>
      <c r="V77" s="92" t="str">
        <f>IF('INTERACTION-PAGE'!#REF!="","",'INTERACTION-PAGE'!#REF!)</f>
        <v>#ERROR!</v>
      </c>
      <c r="W77" s="92" t="str">
        <f>IF('INTERACTION-PAGE'!#REF!="","",'INTERACTION-PAGE'!#REF!)</f>
        <v>#ERROR!</v>
      </c>
      <c r="X77" s="92" t="str">
        <f>IF('INTERACTION-PAGE'!#REF!="","",'INTERACTION-PAGE'!#REF!)</f>
        <v>#ERROR!</v>
      </c>
      <c r="Y77" s="167" t="str">
        <f t="shared" si="6"/>
        <v>#ERROR!</v>
      </c>
      <c r="Z77" s="167" t="str">
        <f t="shared" ref="Z77:AD77" si="71">IF(OR( $B77="", $B77="AB", $B77="UR", $C77="", $C77="AB", $C77="UR", $D77="AB", $D77="UR"),"",(IF(OR(E$10&gt;0,J$10&gt;0,O$10&gt;0,T$10&gt;0),(Z$10*(IF(AND(E$10&gt;0), IF(OR(E77="", E77="AB",E77="UR"),0,E77),0) +IF(AND(J$10&gt;0), IF(OR(J77="",J77="AB",J77=""),0,J77),0)+IF(AND(O$10&gt;0), IF(OR(O77="", O77="AB",O77="UR"),0,O77),0)+IF(AND(T$10&gt;0), IF(OR(T77="",T77="AB",T77="UR"),0,T77),0))/(E$10+J$10+O$10+T$10))," ")))</f>
        <v>#ERROR!</v>
      </c>
      <c r="AA77" s="167" t="str">
        <f t="shared" si="71"/>
        <v>#ERROR!</v>
      </c>
      <c r="AB77" s="167" t="str">
        <f t="shared" si="71"/>
        <v>#ERROR!</v>
      </c>
      <c r="AC77" s="167" t="str">
        <f t="shared" si="71"/>
        <v>#ERROR!</v>
      </c>
      <c r="AD77" s="167" t="str">
        <f t="shared" si="71"/>
        <v>#ERROR!</v>
      </c>
      <c r="AE77" s="168" t="str">
        <f t="shared" si="5"/>
        <v>#ERROR!</v>
      </c>
      <c r="AF77" s="29"/>
    </row>
    <row r="78" ht="15.0" customHeight="1">
      <c r="A78" s="79">
        <v>68.0</v>
      </c>
      <c r="B78" s="92" t="str">
        <f>IF('INTERACTION-PAGE'!#REF!="","",'INTERACTION-PAGE'!#REF!)</f>
        <v>#ERROR!</v>
      </c>
      <c r="C78" s="92" t="str">
        <f>IF('INTERACTION-PAGE'!#REF!="","",'INTERACTION-PAGE'!#REF!)</f>
        <v>#ERROR!</v>
      </c>
      <c r="D78" s="92" t="str">
        <f>IF('INTERACTION-PAGE'!#REF!="","",'INTERACTION-PAGE'!#REF!)</f>
        <v>#ERROR!</v>
      </c>
      <c r="E78" s="92" t="str">
        <f>IF('INTERACTION-PAGE'!#REF!="","",'INTERACTION-PAGE'!#REF!)</f>
        <v>#ERROR!</v>
      </c>
      <c r="F78" s="92" t="str">
        <f>IF('INTERACTION-PAGE'!#REF!="","",'INTERACTION-PAGE'!#REF!)</f>
        <v>#ERROR!</v>
      </c>
      <c r="G78" s="92" t="str">
        <f>IF('INTERACTION-PAGE'!#REF!="","",'INTERACTION-PAGE'!#REF!)</f>
        <v>#ERROR!</v>
      </c>
      <c r="H78" s="92" t="str">
        <f>IF('INTERACTION-PAGE'!#REF!="","",'INTERACTION-PAGE'!#REF!)</f>
        <v>#ERROR!</v>
      </c>
      <c r="I78" s="92" t="str">
        <f>IF('INTERACTION-PAGE'!#REF!="","",'INTERACTION-PAGE'!#REF!)</f>
        <v>#ERROR!</v>
      </c>
      <c r="J78" s="92" t="str">
        <f>IF('INTERACTION-PAGE'!#REF!="","",'INTERACTION-PAGE'!#REF!)</f>
        <v>#ERROR!</v>
      </c>
      <c r="K78" s="92" t="str">
        <f>IF('INTERACTION-PAGE'!#REF!="","",'INTERACTION-PAGE'!#REF!)</f>
        <v>#ERROR!</v>
      </c>
      <c r="L78" s="92" t="str">
        <f>IF('INTERACTION-PAGE'!#REF!="","",'INTERACTION-PAGE'!#REF!)</f>
        <v>#ERROR!</v>
      </c>
      <c r="M78" s="92" t="str">
        <f>IF('INTERACTION-PAGE'!#REF!="","",'INTERACTION-PAGE'!#REF!)</f>
        <v>#ERROR!</v>
      </c>
      <c r="N78" s="92" t="str">
        <f>IF('INTERACTION-PAGE'!#REF!="","",'INTERACTION-PAGE'!#REF!)</f>
        <v>#ERROR!</v>
      </c>
      <c r="O78" s="92" t="str">
        <f>IF('INTERACTION-PAGE'!#REF!="","",'INTERACTION-PAGE'!#REF!)</f>
        <v>#ERROR!</v>
      </c>
      <c r="P78" s="92" t="str">
        <f>IF('INTERACTION-PAGE'!#REF!="","",'INTERACTION-PAGE'!#REF!)</f>
        <v>#ERROR!</v>
      </c>
      <c r="Q78" s="92" t="str">
        <f>IF('INTERACTION-PAGE'!#REF!="","",'INTERACTION-PAGE'!#REF!)</f>
        <v>#ERROR!</v>
      </c>
      <c r="R78" s="92" t="str">
        <f>IF('INTERACTION-PAGE'!#REF!="","",'INTERACTION-PAGE'!#REF!)</f>
        <v>#ERROR!</v>
      </c>
      <c r="S78" s="92" t="str">
        <f>IF('INTERACTION-PAGE'!#REF!="","",'INTERACTION-PAGE'!#REF!)</f>
        <v>#ERROR!</v>
      </c>
      <c r="T78" s="92" t="str">
        <f>IF('INTERACTION-PAGE'!#REF!="","",'INTERACTION-PAGE'!#REF!)</f>
        <v>#ERROR!</v>
      </c>
      <c r="U78" s="92" t="str">
        <f>IF('INTERACTION-PAGE'!#REF!="","",'INTERACTION-PAGE'!#REF!)</f>
        <v>#ERROR!</v>
      </c>
      <c r="V78" s="92" t="str">
        <f>IF('INTERACTION-PAGE'!#REF!="","",'INTERACTION-PAGE'!#REF!)</f>
        <v>#ERROR!</v>
      </c>
      <c r="W78" s="92" t="str">
        <f>IF('INTERACTION-PAGE'!#REF!="","",'INTERACTION-PAGE'!#REF!)</f>
        <v>#ERROR!</v>
      </c>
      <c r="X78" s="92" t="str">
        <f>IF('INTERACTION-PAGE'!#REF!="","",'INTERACTION-PAGE'!#REF!)</f>
        <v>#ERROR!</v>
      </c>
      <c r="Y78" s="167" t="str">
        <f t="shared" si="6"/>
        <v>#ERROR!</v>
      </c>
      <c r="Z78" s="167" t="str">
        <f t="shared" ref="Z78:AD78" si="72">IF(OR( $B78="", $B78="AB", $B78="UR", $C78="", $C78="AB", $C78="UR", $D78="AB", $D78="UR"),"",(IF(OR(E$10&gt;0,J$10&gt;0,O$10&gt;0,T$10&gt;0),(Z$10*(IF(AND(E$10&gt;0), IF(OR(E78="", E78="AB",E78="UR"),0,E78),0) +IF(AND(J$10&gt;0), IF(OR(J78="",J78="AB",J78=""),0,J78),0)+IF(AND(O$10&gt;0), IF(OR(O78="", O78="AB",O78="UR"),0,O78),0)+IF(AND(T$10&gt;0), IF(OR(T78="",T78="AB",T78="UR"),0,T78),0))/(E$10+J$10+O$10+T$10))," ")))</f>
        <v>#ERROR!</v>
      </c>
      <c r="AA78" s="167" t="str">
        <f t="shared" si="72"/>
        <v>#ERROR!</v>
      </c>
      <c r="AB78" s="167" t="str">
        <f t="shared" si="72"/>
        <v>#ERROR!</v>
      </c>
      <c r="AC78" s="167" t="str">
        <f t="shared" si="72"/>
        <v>#ERROR!</v>
      </c>
      <c r="AD78" s="167" t="str">
        <f t="shared" si="72"/>
        <v>#ERROR!</v>
      </c>
      <c r="AE78" s="168" t="str">
        <f t="shared" si="5"/>
        <v>#ERROR!</v>
      </c>
      <c r="AF78" s="29"/>
    </row>
    <row r="79" ht="15.0" customHeight="1">
      <c r="A79" s="65">
        <v>69.0</v>
      </c>
      <c r="B79" s="92" t="str">
        <f>IF('INTERACTION-PAGE'!#REF!="","",'INTERACTION-PAGE'!#REF!)</f>
        <v>#ERROR!</v>
      </c>
      <c r="C79" s="92" t="str">
        <f>IF('INTERACTION-PAGE'!#REF!="","",'INTERACTION-PAGE'!#REF!)</f>
        <v>#ERROR!</v>
      </c>
      <c r="D79" s="92" t="str">
        <f>IF('INTERACTION-PAGE'!#REF!="","",'INTERACTION-PAGE'!#REF!)</f>
        <v>#ERROR!</v>
      </c>
      <c r="E79" s="92" t="str">
        <f>IF('INTERACTION-PAGE'!#REF!="","",'INTERACTION-PAGE'!#REF!)</f>
        <v>#ERROR!</v>
      </c>
      <c r="F79" s="92" t="str">
        <f>IF('INTERACTION-PAGE'!#REF!="","",'INTERACTION-PAGE'!#REF!)</f>
        <v>#ERROR!</v>
      </c>
      <c r="G79" s="92" t="str">
        <f>IF('INTERACTION-PAGE'!#REF!="","",'INTERACTION-PAGE'!#REF!)</f>
        <v>#ERROR!</v>
      </c>
      <c r="H79" s="92" t="str">
        <f>IF('INTERACTION-PAGE'!#REF!="","",'INTERACTION-PAGE'!#REF!)</f>
        <v>#ERROR!</v>
      </c>
      <c r="I79" s="92" t="str">
        <f>IF('INTERACTION-PAGE'!#REF!="","",'INTERACTION-PAGE'!#REF!)</f>
        <v>#ERROR!</v>
      </c>
      <c r="J79" s="92" t="str">
        <f>IF('INTERACTION-PAGE'!#REF!="","",'INTERACTION-PAGE'!#REF!)</f>
        <v>#ERROR!</v>
      </c>
      <c r="K79" s="92" t="str">
        <f>IF('INTERACTION-PAGE'!#REF!="","",'INTERACTION-PAGE'!#REF!)</f>
        <v>#ERROR!</v>
      </c>
      <c r="L79" s="92" t="str">
        <f>IF('INTERACTION-PAGE'!#REF!="","",'INTERACTION-PAGE'!#REF!)</f>
        <v>#ERROR!</v>
      </c>
      <c r="M79" s="92" t="str">
        <f>IF('INTERACTION-PAGE'!#REF!="","",'INTERACTION-PAGE'!#REF!)</f>
        <v>#ERROR!</v>
      </c>
      <c r="N79" s="92" t="str">
        <f>IF('INTERACTION-PAGE'!#REF!="","",'INTERACTION-PAGE'!#REF!)</f>
        <v>#ERROR!</v>
      </c>
      <c r="O79" s="92" t="str">
        <f>IF('INTERACTION-PAGE'!#REF!="","",'INTERACTION-PAGE'!#REF!)</f>
        <v>#ERROR!</v>
      </c>
      <c r="P79" s="92" t="str">
        <f>IF('INTERACTION-PAGE'!#REF!="","",'INTERACTION-PAGE'!#REF!)</f>
        <v>#ERROR!</v>
      </c>
      <c r="Q79" s="92" t="str">
        <f>IF('INTERACTION-PAGE'!#REF!="","",'INTERACTION-PAGE'!#REF!)</f>
        <v>#ERROR!</v>
      </c>
      <c r="R79" s="92" t="str">
        <f>IF('INTERACTION-PAGE'!#REF!="","",'INTERACTION-PAGE'!#REF!)</f>
        <v>#ERROR!</v>
      </c>
      <c r="S79" s="92" t="str">
        <f>IF('INTERACTION-PAGE'!#REF!="","",'INTERACTION-PAGE'!#REF!)</f>
        <v>#ERROR!</v>
      </c>
      <c r="T79" s="92" t="str">
        <f>IF('INTERACTION-PAGE'!#REF!="","",'INTERACTION-PAGE'!#REF!)</f>
        <v>#ERROR!</v>
      </c>
      <c r="U79" s="92" t="str">
        <f>IF('INTERACTION-PAGE'!#REF!="","",'INTERACTION-PAGE'!#REF!)</f>
        <v>#ERROR!</v>
      </c>
      <c r="V79" s="92" t="str">
        <f>IF('INTERACTION-PAGE'!#REF!="","",'INTERACTION-PAGE'!#REF!)</f>
        <v>#ERROR!</v>
      </c>
      <c r="W79" s="92" t="str">
        <f>IF('INTERACTION-PAGE'!#REF!="","",'INTERACTION-PAGE'!#REF!)</f>
        <v>#ERROR!</v>
      </c>
      <c r="X79" s="92" t="str">
        <f>IF('INTERACTION-PAGE'!#REF!="","",'INTERACTION-PAGE'!#REF!)</f>
        <v>#ERROR!</v>
      </c>
      <c r="Y79" s="167" t="str">
        <f t="shared" si="6"/>
        <v>#ERROR!</v>
      </c>
      <c r="Z79" s="167" t="str">
        <f t="shared" ref="Z79:AD79" si="73">IF(OR( $B79="", $B79="AB", $B79="UR", $C79="", $C79="AB", $C79="UR", $D79="AB", $D79="UR"),"",(IF(OR(E$10&gt;0,J$10&gt;0,O$10&gt;0,T$10&gt;0),(Z$10*(IF(AND(E$10&gt;0), IF(OR(E79="", E79="AB",E79="UR"),0,E79),0) +IF(AND(J$10&gt;0), IF(OR(J79="",J79="AB",J79=""),0,J79),0)+IF(AND(O$10&gt;0), IF(OR(O79="", O79="AB",O79="UR"),0,O79),0)+IF(AND(T$10&gt;0), IF(OR(T79="",T79="AB",T79="UR"),0,T79),0))/(E$10+J$10+O$10+T$10))," ")))</f>
        <v>#ERROR!</v>
      </c>
      <c r="AA79" s="167" t="str">
        <f t="shared" si="73"/>
        <v>#ERROR!</v>
      </c>
      <c r="AB79" s="167" t="str">
        <f t="shared" si="73"/>
        <v>#ERROR!</v>
      </c>
      <c r="AC79" s="167" t="str">
        <f t="shared" si="73"/>
        <v>#ERROR!</v>
      </c>
      <c r="AD79" s="167" t="str">
        <f t="shared" si="73"/>
        <v>#ERROR!</v>
      </c>
      <c r="AE79" s="168" t="str">
        <f t="shared" si="5"/>
        <v>#ERROR!</v>
      </c>
      <c r="AF79" s="29"/>
    </row>
    <row r="80" ht="15.0" customHeight="1">
      <c r="A80" s="79">
        <v>70.0</v>
      </c>
      <c r="B80" s="92" t="str">
        <f>IF('INTERACTION-PAGE'!B72="","",'INTERACTION-PAGE'!B72)</f>
        <v/>
      </c>
      <c r="C80" s="92" t="str">
        <f>IF('INTERACTION-PAGE'!C72="","",'INTERACTION-PAGE'!C72)</f>
        <v/>
      </c>
      <c r="D80" s="92" t="str">
        <f>IF('INTERACTION-PAGE'!D72="","",'INTERACTION-PAGE'!D72)</f>
        <v/>
      </c>
      <c r="E80" s="92" t="str">
        <f>IF('INTERACTION-PAGE'!E72="","",'INTERACTION-PAGE'!E72)</f>
        <v/>
      </c>
      <c r="F80" s="92" t="str">
        <f>IF('INTERACTION-PAGE'!F72="","",'INTERACTION-PAGE'!F72)</f>
        <v/>
      </c>
      <c r="G80" s="92" t="str">
        <f>IF('INTERACTION-PAGE'!G72="","",'INTERACTION-PAGE'!G72)</f>
        <v/>
      </c>
      <c r="H80" s="92" t="str">
        <f>IF('INTERACTION-PAGE'!H72="","",'INTERACTION-PAGE'!H72)</f>
        <v/>
      </c>
      <c r="I80" s="92" t="str">
        <f>IF('INTERACTION-PAGE'!I72="","",'INTERACTION-PAGE'!I72)</f>
        <v/>
      </c>
      <c r="J80" s="92" t="str">
        <f>IF('INTERACTION-PAGE'!J72="","",'INTERACTION-PAGE'!J72)</f>
        <v/>
      </c>
      <c r="K80" s="92" t="str">
        <f>IF('INTERACTION-PAGE'!K72="","",'INTERACTION-PAGE'!K72)</f>
        <v/>
      </c>
      <c r="L80" s="92" t="str">
        <f>IF('INTERACTION-PAGE'!L72="","",'INTERACTION-PAGE'!L72)</f>
        <v/>
      </c>
      <c r="M80" s="92" t="str">
        <f>IF('INTERACTION-PAGE'!M72="","",'INTERACTION-PAGE'!M72)</f>
        <v/>
      </c>
      <c r="N80" s="92" t="str">
        <f>IF('INTERACTION-PAGE'!N72="","",'INTERACTION-PAGE'!N72)</f>
        <v/>
      </c>
      <c r="O80" s="92" t="str">
        <f>IF('INTERACTION-PAGE'!O72="","",'INTERACTION-PAGE'!O72)</f>
        <v/>
      </c>
      <c r="P80" s="92" t="str">
        <f>IF('INTERACTION-PAGE'!P72="","",'INTERACTION-PAGE'!P72)</f>
        <v/>
      </c>
      <c r="Q80" s="92" t="str">
        <f>IF('INTERACTION-PAGE'!Q72="","",'INTERACTION-PAGE'!Q72)</f>
        <v/>
      </c>
      <c r="R80" s="92" t="str">
        <f>IF('INTERACTION-PAGE'!R72="","",'INTERACTION-PAGE'!R72)</f>
        <v/>
      </c>
      <c r="S80" s="92" t="str">
        <f>IF('INTERACTION-PAGE'!S72="","",'INTERACTION-PAGE'!S72)</f>
        <v/>
      </c>
      <c r="T80" s="92" t="str">
        <f>IF('INTERACTION-PAGE'!T72="","",'INTERACTION-PAGE'!T72)</f>
        <v/>
      </c>
      <c r="U80" s="92" t="str">
        <f>IF('INTERACTION-PAGE'!U72="","",'INTERACTION-PAGE'!U72)</f>
        <v/>
      </c>
      <c r="V80" s="92" t="str">
        <f>IF('INTERACTION-PAGE'!V72="","",'INTERACTION-PAGE'!V72)</f>
        <v/>
      </c>
      <c r="W80" s="92" t="str">
        <f>IF('INTERACTION-PAGE'!W72="","",'INTERACTION-PAGE'!W72)</f>
        <v/>
      </c>
      <c r="X80" s="92" t="str">
        <f>IF('INTERACTION-PAGE'!X72="","",'INTERACTION-PAGE'!X72)</f>
        <v/>
      </c>
      <c r="Y80" s="167" t="str">
        <f t="shared" si="6"/>
        <v/>
      </c>
      <c r="Z80" s="167" t="str">
        <f t="shared" ref="Z80:AD80" si="74">IF(OR( $B80="", $B80="AB", $B80="UR", $C80="", $C80="AB", $C80="UR", $D80="AB", $D80="UR"),"",(IF(OR(E$10&gt;0,J$10&gt;0,O$10&gt;0,T$10&gt;0),(Z$10*(IF(AND(E$10&gt;0), IF(OR(E80="", E80="AB",E80="UR"),0,E80),0) +IF(AND(J$10&gt;0), IF(OR(J80="",J80="AB",J80=""),0,J80),0)+IF(AND(O$10&gt;0), IF(OR(O80="", O80="AB",O80="UR"),0,O80),0)+IF(AND(T$10&gt;0), IF(OR(T80="",T80="AB",T80="UR"),0,T80),0))/(E$10+J$10+O$10+T$10))," ")))</f>
        <v/>
      </c>
      <c r="AA80" s="167" t="str">
        <f t="shared" si="74"/>
        <v/>
      </c>
      <c r="AB80" s="167" t="str">
        <f t="shared" si="74"/>
        <v/>
      </c>
      <c r="AC80" s="167" t="str">
        <f t="shared" si="74"/>
        <v/>
      </c>
      <c r="AD80" s="167" t="str">
        <f t="shared" si="74"/>
        <v/>
      </c>
      <c r="AE80" s="168" t="str">
        <f t="shared" si="5"/>
        <v/>
      </c>
      <c r="AF80" s="29"/>
    </row>
    <row r="81" ht="15.0" customHeight="1">
      <c r="A81" s="65">
        <v>71.0</v>
      </c>
      <c r="B81" s="92" t="str">
        <f>IF('INTERACTION-PAGE'!B73="","",'INTERACTION-PAGE'!B73)</f>
        <v/>
      </c>
      <c r="C81" s="92" t="str">
        <f>IF('INTERACTION-PAGE'!C73="","",'INTERACTION-PAGE'!C73)</f>
        <v/>
      </c>
      <c r="D81" s="92" t="str">
        <f>IF('INTERACTION-PAGE'!D73="","",'INTERACTION-PAGE'!D73)</f>
        <v/>
      </c>
      <c r="E81" s="92" t="str">
        <f>IF('INTERACTION-PAGE'!E73="","",'INTERACTION-PAGE'!E73)</f>
        <v/>
      </c>
      <c r="F81" s="92" t="str">
        <f>IF('INTERACTION-PAGE'!F73="","",'INTERACTION-PAGE'!F73)</f>
        <v/>
      </c>
      <c r="G81" s="92" t="str">
        <f>IF('INTERACTION-PAGE'!G73="","",'INTERACTION-PAGE'!G73)</f>
        <v/>
      </c>
      <c r="H81" s="92" t="str">
        <f>IF('INTERACTION-PAGE'!H73="","",'INTERACTION-PAGE'!H73)</f>
        <v/>
      </c>
      <c r="I81" s="92" t="str">
        <f>IF('INTERACTION-PAGE'!I73="","",'INTERACTION-PAGE'!I73)</f>
        <v/>
      </c>
      <c r="J81" s="92" t="str">
        <f>IF('INTERACTION-PAGE'!J73="","",'INTERACTION-PAGE'!J73)</f>
        <v/>
      </c>
      <c r="K81" s="92" t="str">
        <f>IF('INTERACTION-PAGE'!K73="","",'INTERACTION-PAGE'!K73)</f>
        <v/>
      </c>
      <c r="L81" s="92" t="str">
        <f>IF('INTERACTION-PAGE'!L73="","",'INTERACTION-PAGE'!L73)</f>
        <v/>
      </c>
      <c r="M81" s="92" t="str">
        <f>IF('INTERACTION-PAGE'!M73="","",'INTERACTION-PAGE'!M73)</f>
        <v/>
      </c>
      <c r="N81" s="92" t="str">
        <f>IF('INTERACTION-PAGE'!N73="","",'INTERACTION-PAGE'!N73)</f>
        <v/>
      </c>
      <c r="O81" s="92" t="str">
        <f>IF('INTERACTION-PAGE'!O73="","",'INTERACTION-PAGE'!O73)</f>
        <v/>
      </c>
      <c r="P81" s="92" t="str">
        <f>IF('INTERACTION-PAGE'!P73="","",'INTERACTION-PAGE'!P73)</f>
        <v/>
      </c>
      <c r="Q81" s="92" t="str">
        <f>IF('INTERACTION-PAGE'!Q73="","",'INTERACTION-PAGE'!Q73)</f>
        <v/>
      </c>
      <c r="R81" s="92" t="str">
        <f>IF('INTERACTION-PAGE'!R73="","",'INTERACTION-PAGE'!R73)</f>
        <v/>
      </c>
      <c r="S81" s="92" t="str">
        <f>IF('INTERACTION-PAGE'!S73="","",'INTERACTION-PAGE'!S73)</f>
        <v/>
      </c>
      <c r="T81" s="92" t="str">
        <f>IF('INTERACTION-PAGE'!T73="","",'INTERACTION-PAGE'!T73)</f>
        <v/>
      </c>
      <c r="U81" s="92" t="str">
        <f>IF('INTERACTION-PAGE'!U73="","",'INTERACTION-PAGE'!U73)</f>
        <v/>
      </c>
      <c r="V81" s="92" t="str">
        <f>IF('INTERACTION-PAGE'!V73="","",'INTERACTION-PAGE'!V73)</f>
        <v/>
      </c>
      <c r="W81" s="92" t="str">
        <f>IF('INTERACTION-PAGE'!W73="","",'INTERACTION-PAGE'!W73)</f>
        <v/>
      </c>
      <c r="X81" s="92" t="str">
        <f>IF('INTERACTION-PAGE'!X73="","",'INTERACTION-PAGE'!X73)</f>
        <v/>
      </c>
      <c r="Y81" s="167" t="str">
        <f t="shared" si="6"/>
        <v/>
      </c>
      <c r="Z81" s="167" t="str">
        <f t="shared" ref="Z81:AD81" si="75">IF(OR( $B81="", $B81="AB", $B81="UR", $C81="", $C81="AB", $C81="UR", $D81="AB", $D81="UR"),"",(IF(OR(E$10&gt;0,J$10&gt;0,O$10&gt;0,T$10&gt;0),(Z$10*(IF(AND(E$10&gt;0), IF(OR(E81="", E81="AB",E81="UR"),0,E81),0) +IF(AND(J$10&gt;0), IF(OR(J81="",J81="AB",J81=""),0,J81),0)+IF(AND(O$10&gt;0), IF(OR(O81="", O81="AB",O81="UR"),0,O81),0)+IF(AND(T$10&gt;0), IF(OR(T81="",T81="AB",T81="UR"),0,T81),0))/(E$10+J$10+O$10+T$10))," ")))</f>
        <v/>
      </c>
      <c r="AA81" s="167" t="str">
        <f t="shared" si="75"/>
        <v/>
      </c>
      <c r="AB81" s="167" t="str">
        <f t="shared" si="75"/>
        <v/>
      </c>
      <c r="AC81" s="167" t="str">
        <f t="shared" si="75"/>
        <v/>
      </c>
      <c r="AD81" s="167" t="str">
        <f t="shared" si="75"/>
        <v/>
      </c>
      <c r="AE81" s="168" t="str">
        <f t="shared" si="5"/>
        <v/>
      </c>
      <c r="AF81" s="29"/>
    </row>
    <row r="82" ht="15.0" customHeight="1">
      <c r="A82" s="79">
        <v>72.0</v>
      </c>
      <c r="B82" s="92" t="str">
        <f>IF('INTERACTION-PAGE'!B74="","",'INTERACTION-PAGE'!B74)</f>
        <v/>
      </c>
      <c r="C82" s="92" t="str">
        <f>IF('INTERACTION-PAGE'!C74="","",'INTERACTION-PAGE'!C74)</f>
        <v/>
      </c>
      <c r="D82" s="92" t="str">
        <f>IF('INTERACTION-PAGE'!D74="","",'INTERACTION-PAGE'!D74)</f>
        <v/>
      </c>
      <c r="E82" s="92" t="str">
        <f>IF('INTERACTION-PAGE'!E74="","",'INTERACTION-PAGE'!E74)</f>
        <v/>
      </c>
      <c r="F82" s="92" t="str">
        <f>IF('INTERACTION-PAGE'!F74="","",'INTERACTION-PAGE'!F74)</f>
        <v/>
      </c>
      <c r="G82" s="92" t="str">
        <f>IF('INTERACTION-PAGE'!G74="","",'INTERACTION-PAGE'!G74)</f>
        <v/>
      </c>
      <c r="H82" s="92" t="str">
        <f>IF('INTERACTION-PAGE'!H74="","",'INTERACTION-PAGE'!H74)</f>
        <v/>
      </c>
      <c r="I82" s="92" t="str">
        <f>IF('INTERACTION-PAGE'!I74="","",'INTERACTION-PAGE'!I74)</f>
        <v/>
      </c>
      <c r="J82" s="92" t="str">
        <f>IF('INTERACTION-PAGE'!J74="","",'INTERACTION-PAGE'!J74)</f>
        <v/>
      </c>
      <c r="K82" s="92" t="str">
        <f>IF('INTERACTION-PAGE'!K74="","",'INTERACTION-PAGE'!K74)</f>
        <v/>
      </c>
      <c r="L82" s="92" t="str">
        <f>IF('INTERACTION-PAGE'!L74="","",'INTERACTION-PAGE'!L74)</f>
        <v/>
      </c>
      <c r="M82" s="92" t="str">
        <f>IF('INTERACTION-PAGE'!M74="","",'INTERACTION-PAGE'!M74)</f>
        <v/>
      </c>
      <c r="N82" s="92" t="str">
        <f>IF('INTERACTION-PAGE'!N74="","",'INTERACTION-PAGE'!N74)</f>
        <v/>
      </c>
      <c r="O82" s="92" t="str">
        <f>IF('INTERACTION-PAGE'!O74="","",'INTERACTION-PAGE'!O74)</f>
        <v/>
      </c>
      <c r="P82" s="92" t="str">
        <f>IF('INTERACTION-PAGE'!P74="","",'INTERACTION-PAGE'!P74)</f>
        <v/>
      </c>
      <c r="Q82" s="92" t="str">
        <f>IF('INTERACTION-PAGE'!Q74="","",'INTERACTION-PAGE'!Q74)</f>
        <v/>
      </c>
      <c r="R82" s="92" t="str">
        <f>IF('INTERACTION-PAGE'!R74="","",'INTERACTION-PAGE'!R74)</f>
        <v/>
      </c>
      <c r="S82" s="92" t="str">
        <f>IF('INTERACTION-PAGE'!S74="","",'INTERACTION-PAGE'!S74)</f>
        <v/>
      </c>
      <c r="T82" s="92" t="str">
        <f>IF('INTERACTION-PAGE'!T74="","",'INTERACTION-PAGE'!T74)</f>
        <v/>
      </c>
      <c r="U82" s="92" t="str">
        <f>IF('INTERACTION-PAGE'!U74="","",'INTERACTION-PAGE'!U74)</f>
        <v/>
      </c>
      <c r="V82" s="92" t="str">
        <f>IF('INTERACTION-PAGE'!V74="","",'INTERACTION-PAGE'!V74)</f>
        <v/>
      </c>
      <c r="W82" s="92" t="str">
        <f>IF('INTERACTION-PAGE'!W74="","",'INTERACTION-PAGE'!W74)</f>
        <v/>
      </c>
      <c r="X82" s="92" t="str">
        <f>IF('INTERACTION-PAGE'!X74="","",'INTERACTION-PAGE'!X74)</f>
        <v/>
      </c>
      <c r="Y82" s="167" t="str">
        <f t="shared" si="6"/>
        <v/>
      </c>
      <c r="Z82" s="167" t="str">
        <f t="shared" ref="Z82:AD82" si="76">IF(OR( $B82="", $B82="AB", $B82="UR", $C82="", $C82="AB", $C82="UR", $D82="AB", $D82="UR"),"",(IF(OR(E$10&gt;0,J$10&gt;0,O$10&gt;0,T$10&gt;0),(Z$10*(IF(AND(E$10&gt;0), IF(OR(E82="", E82="AB",E82="UR"),0,E82),0) +IF(AND(J$10&gt;0), IF(OR(J82="",J82="AB",J82=""),0,J82),0)+IF(AND(O$10&gt;0), IF(OR(O82="", O82="AB",O82="UR"),0,O82),0)+IF(AND(T$10&gt;0), IF(OR(T82="",T82="AB",T82="UR"),0,T82),0))/(E$10+J$10+O$10+T$10))," ")))</f>
        <v/>
      </c>
      <c r="AA82" s="167" t="str">
        <f t="shared" si="76"/>
        <v/>
      </c>
      <c r="AB82" s="167" t="str">
        <f t="shared" si="76"/>
        <v/>
      </c>
      <c r="AC82" s="167" t="str">
        <f t="shared" si="76"/>
        <v/>
      </c>
      <c r="AD82" s="167" t="str">
        <f t="shared" si="76"/>
        <v/>
      </c>
      <c r="AE82" s="168" t="str">
        <f t="shared" si="5"/>
        <v/>
      </c>
      <c r="AF82" s="29"/>
    </row>
    <row r="83" ht="15.0" customHeight="1">
      <c r="A83" s="65">
        <v>73.0</v>
      </c>
      <c r="B83" s="92" t="str">
        <f>IF('INTERACTION-PAGE'!B75="","",'INTERACTION-PAGE'!B75)</f>
        <v/>
      </c>
      <c r="C83" s="92" t="str">
        <f>IF('INTERACTION-PAGE'!C75="","",'INTERACTION-PAGE'!C75)</f>
        <v/>
      </c>
      <c r="D83" s="92" t="str">
        <f>IF('INTERACTION-PAGE'!D75="","",'INTERACTION-PAGE'!D75)</f>
        <v/>
      </c>
      <c r="E83" s="92" t="str">
        <f>IF('INTERACTION-PAGE'!E75="","",'INTERACTION-PAGE'!E75)</f>
        <v/>
      </c>
      <c r="F83" s="92" t="str">
        <f>IF('INTERACTION-PAGE'!F75="","",'INTERACTION-PAGE'!F75)</f>
        <v/>
      </c>
      <c r="G83" s="92" t="str">
        <f>IF('INTERACTION-PAGE'!G75="","",'INTERACTION-PAGE'!G75)</f>
        <v/>
      </c>
      <c r="H83" s="92" t="str">
        <f>IF('INTERACTION-PAGE'!H75="","",'INTERACTION-PAGE'!H75)</f>
        <v/>
      </c>
      <c r="I83" s="92" t="str">
        <f>IF('INTERACTION-PAGE'!I75="","",'INTERACTION-PAGE'!I75)</f>
        <v/>
      </c>
      <c r="J83" s="92" t="str">
        <f>IF('INTERACTION-PAGE'!J75="","",'INTERACTION-PAGE'!J75)</f>
        <v/>
      </c>
      <c r="K83" s="92" t="str">
        <f>IF('INTERACTION-PAGE'!K75="","",'INTERACTION-PAGE'!K75)</f>
        <v/>
      </c>
      <c r="L83" s="92" t="str">
        <f>IF('INTERACTION-PAGE'!L75="","",'INTERACTION-PAGE'!L75)</f>
        <v/>
      </c>
      <c r="M83" s="92" t="str">
        <f>IF('INTERACTION-PAGE'!M75="","",'INTERACTION-PAGE'!M75)</f>
        <v/>
      </c>
      <c r="N83" s="92" t="str">
        <f>IF('INTERACTION-PAGE'!N75="","",'INTERACTION-PAGE'!N75)</f>
        <v/>
      </c>
      <c r="O83" s="92" t="str">
        <f>IF('INTERACTION-PAGE'!O75="","",'INTERACTION-PAGE'!O75)</f>
        <v/>
      </c>
      <c r="P83" s="92" t="str">
        <f>IF('INTERACTION-PAGE'!P75="","",'INTERACTION-PAGE'!P75)</f>
        <v/>
      </c>
      <c r="Q83" s="92" t="str">
        <f>IF('INTERACTION-PAGE'!Q75="","",'INTERACTION-PAGE'!Q75)</f>
        <v/>
      </c>
      <c r="R83" s="92" t="str">
        <f>IF('INTERACTION-PAGE'!R75="","",'INTERACTION-PAGE'!R75)</f>
        <v/>
      </c>
      <c r="S83" s="92" t="str">
        <f>IF('INTERACTION-PAGE'!S75="","",'INTERACTION-PAGE'!S75)</f>
        <v/>
      </c>
      <c r="T83" s="92" t="str">
        <f>IF('INTERACTION-PAGE'!T75="","",'INTERACTION-PAGE'!T75)</f>
        <v/>
      </c>
      <c r="U83" s="92" t="str">
        <f>IF('INTERACTION-PAGE'!U75="","",'INTERACTION-PAGE'!U75)</f>
        <v/>
      </c>
      <c r="V83" s="92" t="str">
        <f>IF('INTERACTION-PAGE'!V75="","",'INTERACTION-PAGE'!V75)</f>
        <v/>
      </c>
      <c r="W83" s="92" t="str">
        <f>IF('INTERACTION-PAGE'!W75="","",'INTERACTION-PAGE'!W75)</f>
        <v/>
      </c>
      <c r="X83" s="92" t="str">
        <f>IF('INTERACTION-PAGE'!X75="","",'INTERACTION-PAGE'!X75)</f>
        <v/>
      </c>
      <c r="Y83" s="167" t="str">
        <f t="shared" si="6"/>
        <v/>
      </c>
      <c r="Z83" s="167" t="str">
        <f t="shared" ref="Z83:AD83" si="77">IF(OR( $B83="", $B83="AB", $B83="UR", $C83="", $C83="AB", $C83="UR", $D83="AB", $D83="UR"),"",(IF(OR(E$10&gt;0,J$10&gt;0,O$10&gt;0,T$10&gt;0),(Z$10*(IF(AND(E$10&gt;0), IF(OR(E83="", E83="AB",E83="UR"),0,E83),0) +IF(AND(J$10&gt;0), IF(OR(J83="",J83="AB",J83=""),0,J83),0)+IF(AND(O$10&gt;0), IF(OR(O83="", O83="AB",O83="UR"),0,O83),0)+IF(AND(T$10&gt;0), IF(OR(T83="",T83="AB",T83="UR"),0,T83),0))/(E$10+J$10+O$10+T$10))," ")))</f>
        <v/>
      </c>
      <c r="AA83" s="167" t="str">
        <f t="shared" si="77"/>
        <v/>
      </c>
      <c r="AB83" s="167" t="str">
        <f t="shared" si="77"/>
        <v/>
      </c>
      <c r="AC83" s="167" t="str">
        <f t="shared" si="77"/>
        <v/>
      </c>
      <c r="AD83" s="167" t="str">
        <f t="shared" si="77"/>
        <v/>
      </c>
      <c r="AE83" s="168" t="str">
        <f t="shared" si="5"/>
        <v/>
      </c>
      <c r="AF83" s="29"/>
    </row>
    <row r="84" ht="15.0" customHeight="1">
      <c r="A84" s="79">
        <v>74.0</v>
      </c>
      <c r="B84" s="92" t="str">
        <f>IF('INTERACTION-PAGE'!B76="","",'INTERACTION-PAGE'!B76)</f>
        <v/>
      </c>
      <c r="C84" s="92" t="str">
        <f>IF('INTERACTION-PAGE'!C76="","",'INTERACTION-PAGE'!C76)</f>
        <v/>
      </c>
      <c r="D84" s="92" t="str">
        <f>IF('INTERACTION-PAGE'!D76="","",'INTERACTION-PAGE'!D76)</f>
        <v/>
      </c>
      <c r="E84" s="92" t="str">
        <f>IF('INTERACTION-PAGE'!E76="","",'INTERACTION-PAGE'!E76)</f>
        <v/>
      </c>
      <c r="F84" s="92" t="str">
        <f>IF('INTERACTION-PAGE'!F76="","",'INTERACTION-PAGE'!F76)</f>
        <v/>
      </c>
      <c r="G84" s="92" t="str">
        <f>IF('INTERACTION-PAGE'!G76="","",'INTERACTION-PAGE'!G76)</f>
        <v/>
      </c>
      <c r="H84" s="92" t="str">
        <f>IF('INTERACTION-PAGE'!H76="","",'INTERACTION-PAGE'!H76)</f>
        <v/>
      </c>
      <c r="I84" s="92" t="str">
        <f>IF('INTERACTION-PAGE'!I76="","",'INTERACTION-PAGE'!I76)</f>
        <v/>
      </c>
      <c r="J84" s="92" t="str">
        <f>IF('INTERACTION-PAGE'!J76="","",'INTERACTION-PAGE'!J76)</f>
        <v/>
      </c>
      <c r="K84" s="92" t="str">
        <f>IF('INTERACTION-PAGE'!K76="","",'INTERACTION-PAGE'!K76)</f>
        <v/>
      </c>
      <c r="L84" s="92" t="str">
        <f>IF('INTERACTION-PAGE'!L76="","",'INTERACTION-PAGE'!L76)</f>
        <v/>
      </c>
      <c r="M84" s="92" t="str">
        <f>IF('INTERACTION-PAGE'!M76="","",'INTERACTION-PAGE'!M76)</f>
        <v/>
      </c>
      <c r="N84" s="92" t="str">
        <f>IF('INTERACTION-PAGE'!N76="","",'INTERACTION-PAGE'!N76)</f>
        <v/>
      </c>
      <c r="O84" s="92" t="str">
        <f>IF('INTERACTION-PAGE'!O76="","",'INTERACTION-PAGE'!O76)</f>
        <v/>
      </c>
      <c r="P84" s="92" t="str">
        <f>IF('INTERACTION-PAGE'!P76="","",'INTERACTION-PAGE'!P76)</f>
        <v/>
      </c>
      <c r="Q84" s="92" t="str">
        <f>IF('INTERACTION-PAGE'!Q76="","",'INTERACTION-PAGE'!Q76)</f>
        <v/>
      </c>
      <c r="R84" s="92" t="str">
        <f>IF('INTERACTION-PAGE'!R76="","",'INTERACTION-PAGE'!R76)</f>
        <v/>
      </c>
      <c r="S84" s="92" t="str">
        <f>IF('INTERACTION-PAGE'!S76="","",'INTERACTION-PAGE'!S76)</f>
        <v/>
      </c>
      <c r="T84" s="92" t="str">
        <f>IF('INTERACTION-PAGE'!T76="","",'INTERACTION-PAGE'!T76)</f>
        <v/>
      </c>
      <c r="U84" s="92" t="str">
        <f>IF('INTERACTION-PAGE'!U76="","",'INTERACTION-PAGE'!U76)</f>
        <v/>
      </c>
      <c r="V84" s="92" t="str">
        <f>IF('INTERACTION-PAGE'!V76="","",'INTERACTION-PAGE'!V76)</f>
        <v/>
      </c>
      <c r="W84" s="92" t="str">
        <f>IF('INTERACTION-PAGE'!W76="","",'INTERACTION-PAGE'!W76)</f>
        <v/>
      </c>
      <c r="X84" s="92" t="str">
        <f>IF('INTERACTION-PAGE'!X76="","",'INTERACTION-PAGE'!X76)</f>
        <v/>
      </c>
      <c r="Y84" s="167" t="str">
        <f t="shared" si="6"/>
        <v/>
      </c>
      <c r="Z84" s="167" t="str">
        <f t="shared" ref="Z84:AD84" si="78">IF(OR( $B84="", $B84="AB", $B84="UR", $C84="", $C84="AB", $C84="UR", $D84="AB", $D84="UR"),"",(IF(OR(E$10&gt;0,J$10&gt;0,O$10&gt;0,T$10&gt;0),(Z$10*(IF(AND(E$10&gt;0), IF(OR(E84="", E84="AB",E84="UR"),0,E84),0) +IF(AND(J$10&gt;0), IF(OR(J84="",J84="AB",J84=""),0,J84),0)+IF(AND(O$10&gt;0), IF(OR(O84="", O84="AB",O84="UR"),0,O84),0)+IF(AND(T$10&gt;0), IF(OR(T84="",T84="AB",T84="UR"),0,T84),0))/(E$10+J$10+O$10+T$10))," ")))</f>
        <v/>
      </c>
      <c r="AA84" s="167" t="str">
        <f t="shared" si="78"/>
        <v/>
      </c>
      <c r="AB84" s="167" t="str">
        <f t="shared" si="78"/>
        <v/>
      </c>
      <c r="AC84" s="167" t="str">
        <f t="shared" si="78"/>
        <v/>
      </c>
      <c r="AD84" s="167" t="str">
        <f t="shared" si="78"/>
        <v/>
      </c>
      <c r="AE84" s="168" t="str">
        <f t="shared" si="5"/>
        <v/>
      </c>
      <c r="AF84" s="29"/>
    </row>
    <row r="85" ht="15.0" customHeight="1">
      <c r="A85" s="65">
        <v>75.0</v>
      </c>
      <c r="B85" s="92" t="str">
        <f>IF('INTERACTION-PAGE'!B77="","",'INTERACTION-PAGE'!B77)</f>
        <v/>
      </c>
      <c r="C85" s="92" t="str">
        <f>IF('INTERACTION-PAGE'!C77="","",'INTERACTION-PAGE'!C77)</f>
        <v/>
      </c>
      <c r="D85" s="92" t="str">
        <f>IF('INTERACTION-PAGE'!D77="","",'INTERACTION-PAGE'!D77)</f>
        <v/>
      </c>
      <c r="E85" s="92" t="str">
        <f>IF('INTERACTION-PAGE'!E77="","",'INTERACTION-PAGE'!E77)</f>
        <v/>
      </c>
      <c r="F85" s="92" t="str">
        <f>IF('INTERACTION-PAGE'!F77="","",'INTERACTION-PAGE'!F77)</f>
        <v/>
      </c>
      <c r="G85" s="92" t="str">
        <f>IF('INTERACTION-PAGE'!G77="","",'INTERACTION-PAGE'!G77)</f>
        <v/>
      </c>
      <c r="H85" s="92" t="str">
        <f>IF('INTERACTION-PAGE'!H77="","",'INTERACTION-PAGE'!H77)</f>
        <v/>
      </c>
      <c r="I85" s="92" t="str">
        <f>IF('INTERACTION-PAGE'!I77="","",'INTERACTION-PAGE'!I77)</f>
        <v/>
      </c>
      <c r="J85" s="92" t="str">
        <f>IF('INTERACTION-PAGE'!J77="","",'INTERACTION-PAGE'!J77)</f>
        <v/>
      </c>
      <c r="K85" s="92" t="str">
        <f>IF('INTERACTION-PAGE'!K77="","",'INTERACTION-PAGE'!K77)</f>
        <v/>
      </c>
      <c r="L85" s="92" t="str">
        <f>IF('INTERACTION-PAGE'!L77="","",'INTERACTION-PAGE'!L77)</f>
        <v/>
      </c>
      <c r="M85" s="92" t="str">
        <f>IF('INTERACTION-PAGE'!M77="","",'INTERACTION-PAGE'!M77)</f>
        <v/>
      </c>
      <c r="N85" s="92" t="str">
        <f>IF('INTERACTION-PAGE'!N77="","",'INTERACTION-PAGE'!N77)</f>
        <v/>
      </c>
      <c r="O85" s="92" t="str">
        <f>IF('INTERACTION-PAGE'!O77="","",'INTERACTION-PAGE'!O77)</f>
        <v/>
      </c>
      <c r="P85" s="92" t="str">
        <f>IF('INTERACTION-PAGE'!P77="","",'INTERACTION-PAGE'!P77)</f>
        <v/>
      </c>
      <c r="Q85" s="92" t="str">
        <f>IF('INTERACTION-PAGE'!Q77="","",'INTERACTION-PAGE'!Q77)</f>
        <v/>
      </c>
      <c r="R85" s="92" t="str">
        <f>IF('INTERACTION-PAGE'!R77="","",'INTERACTION-PAGE'!R77)</f>
        <v/>
      </c>
      <c r="S85" s="92" t="str">
        <f>IF('INTERACTION-PAGE'!S77="","",'INTERACTION-PAGE'!S77)</f>
        <v/>
      </c>
      <c r="T85" s="92" t="str">
        <f>IF('INTERACTION-PAGE'!T77="","",'INTERACTION-PAGE'!T77)</f>
        <v/>
      </c>
      <c r="U85" s="92" t="str">
        <f>IF('INTERACTION-PAGE'!U77="","",'INTERACTION-PAGE'!U77)</f>
        <v/>
      </c>
      <c r="V85" s="92" t="str">
        <f>IF('INTERACTION-PAGE'!V77="","",'INTERACTION-PAGE'!V77)</f>
        <v/>
      </c>
      <c r="W85" s="92" t="str">
        <f>IF('INTERACTION-PAGE'!W77="","",'INTERACTION-PAGE'!W77)</f>
        <v/>
      </c>
      <c r="X85" s="92" t="str">
        <f>IF('INTERACTION-PAGE'!X77="","",'INTERACTION-PAGE'!X77)</f>
        <v/>
      </c>
      <c r="Y85" s="167" t="str">
        <f t="shared" si="6"/>
        <v/>
      </c>
      <c r="Z85" s="167" t="str">
        <f t="shared" ref="Z85:AD85" si="79">IF(OR( $B85="", $B85="AB", $B85="UR", $C85="", $C85="AB", $C85="UR", $D85="AB", $D85="UR"),"",(IF(OR(E$10&gt;0,J$10&gt;0,O$10&gt;0,T$10&gt;0),(Z$10*(IF(AND(E$10&gt;0), IF(OR(E85="", E85="AB",E85="UR"),0,E85),0) +IF(AND(J$10&gt;0), IF(OR(J85="",J85="AB",J85=""),0,J85),0)+IF(AND(O$10&gt;0), IF(OR(O85="", O85="AB",O85="UR"),0,O85),0)+IF(AND(T$10&gt;0), IF(OR(T85="",T85="AB",T85="UR"),0,T85),0))/(E$10+J$10+O$10+T$10))," ")))</f>
        <v/>
      </c>
      <c r="AA85" s="167" t="str">
        <f t="shared" si="79"/>
        <v/>
      </c>
      <c r="AB85" s="167" t="str">
        <f t="shared" si="79"/>
        <v/>
      </c>
      <c r="AC85" s="167" t="str">
        <f t="shared" si="79"/>
        <v/>
      </c>
      <c r="AD85" s="167" t="str">
        <f t="shared" si="79"/>
        <v/>
      </c>
      <c r="AE85" s="168" t="str">
        <f t="shared" si="5"/>
        <v/>
      </c>
      <c r="AF85" s="29"/>
    </row>
    <row r="86" ht="15.0" customHeight="1">
      <c r="A86" s="79">
        <v>76.0</v>
      </c>
      <c r="B86" s="92" t="str">
        <f>IF('INTERACTION-PAGE'!B78="","",'INTERACTION-PAGE'!B78)</f>
        <v/>
      </c>
      <c r="C86" s="92" t="str">
        <f>IF('INTERACTION-PAGE'!C78="","",'INTERACTION-PAGE'!C78)</f>
        <v/>
      </c>
      <c r="D86" s="92" t="str">
        <f>IF('INTERACTION-PAGE'!D78="","",'INTERACTION-PAGE'!D78)</f>
        <v/>
      </c>
      <c r="E86" s="92" t="str">
        <f>IF('INTERACTION-PAGE'!E78="","",'INTERACTION-PAGE'!E78)</f>
        <v/>
      </c>
      <c r="F86" s="92" t="str">
        <f>IF('INTERACTION-PAGE'!F78="","",'INTERACTION-PAGE'!F78)</f>
        <v/>
      </c>
      <c r="G86" s="92" t="str">
        <f>IF('INTERACTION-PAGE'!G78="","",'INTERACTION-PAGE'!G78)</f>
        <v/>
      </c>
      <c r="H86" s="92" t="str">
        <f>IF('INTERACTION-PAGE'!H78="","",'INTERACTION-PAGE'!H78)</f>
        <v/>
      </c>
      <c r="I86" s="92" t="str">
        <f>IF('INTERACTION-PAGE'!I78="","",'INTERACTION-PAGE'!I78)</f>
        <v/>
      </c>
      <c r="J86" s="92" t="str">
        <f>IF('INTERACTION-PAGE'!J78="","",'INTERACTION-PAGE'!J78)</f>
        <v/>
      </c>
      <c r="K86" s="92" t="str">
        <f>IF('INTERACTION-PAGE'!K78="","",'INTERACTION-PAGE'!K78)</f>
        <v/>
      </c>
      <c r="L86" s="92" t="str">
        <f>IF('INTERACTION-PAGE'!L78="","",'INTERACTION-PAGE'!L78)</f>
        <v/>
      </c>
      <c r="M86" s="92" t="str">
        <f>IF('INTERACTION-PAGE'!M78="","",'INTERACTION-PAGE'!M78)</f>
        <v/>
      </c>
      <c r="N86" s="92" t="str">
        <f>IF('INTERACTION-PAGE'!N78="","",'INTERACTION-PAGE'!N78)</f>
        <v/>
      </c>
      <c r="O86" s="92" t="str">
        <f>IF('INTERACTION-PAGE'!O78="","",'INTERACTION-PAGE'!O78)</f>
        <v/>
      </c>
      <c r="P86" s="92" t="str">
        <f>IF('INTERACTION-PAGE'!P78="","",'INTERACTION-PAGE'!P78)</f>
        <v/>
      </c>
      <c r="Q86" s="92" t="str">
        <f>IF('INTERACTION-PAGE'!Q78="","",'INTERACTION-PAGE'!Q78)</f>
        <v/>
      </c>
      <c r="R86" s="92" t="str">
        <f>IF('INTERACTION-PAGE'!R78="","",'INTERACTION-PAGE'!R78)</f>
        <v/>
      </c>
      <c r="S86" s="92" t="str">
        <f>IF('INTERACTION-PAGE'!S78="","",'INTERACTION-PAGE'!S78)</f>
        <v/>
      </c>
      <c r="T86" s="92" t="str">
        <f>IF('INTERACTION-PAGE'!T78="","",'INTERACTION-PAGE'!T78)</f>
        <v/>
      </c>
      <c r="U86" s="92" t="str">
        <f>IF('INTERACTION-PAGE'!U78="","",'INTERACTION-PAGE'!U78)</f>
        <v/>
      </c>
      <c r="V86" s="92" t="str">
        <f>IF('INTERACTION-PAGE'!V78="","",'INTERACTION-PAGE'!V78)</f>
        <v/>
      </c>
      <c r="W86" s="92" t="str">
        <f>IF('INTERACTION-PAGE'!W78="","",'INTERACTION-PAGE'!W78)</f>
        <v/>
      </c>
      <c r="X86" s="92" t="str">
        <f>IF('INTERACTION-PAGE'!X78="","",'INTERACTION-PAGE'!X78)</f>
        <v/>
      </c>
      <c r="Y86" s="167" t="str">
        <f t="shared" si="6"/>
        <v/>
      </c>
      <c r="Z86" s="167" t="str">
        <f t="shared" ref="Z86:AD86" si="80">IF(OR( $B86="", $B86="AB", $B86="UR", $C86="", $C86="AB", $C86="UR", $D86="AB", $D86="UR"),"",(IF(OR(E$10&gt;0,J$10&gt;0,O$10&gt;0,T$10&gt;0),(Z$10*(IF(AND(E$10&gt;0), IF(OR(E86="", E86="AB",E86="UR"),0,E86),0) +IF(AND(J$10&gt;0), IF(OR(J86="",J86="AB",J86=""),0,J86),0)+IF(AND(O$10&gt;0), IF(OR(O86="", O86="AB",O86="UR"),0,O86),0)+IF(AND(T$10&gt;0), IF(OR(T86="",T86="AB",T86="UR"),0,T86),0))/(E$10+J$10+O$10+T$10))," ")))</f>
        <v/>
      </c>
      <c r="AA86" s="167" t="str">
        <f t="shared" si="80"/>
        <v/>
      </c>
      <c r="AB86" s="167" t="str">
        <f t="shared" si="80"/>
        <v/>
      </c>
      <c r="AC86" s="167" t="str">
        <f t="shared" si="80"/>
        <v/>
      </c>
      <c r="AD86" s="167" t="str">
        <f t="shared" si="80"/>
        <v/>
      </c>
      <c r="AE86" s="168" t="str">
        <f t="shared" si="5"/>
        <v/>
      </c>
      <c r="AF86" s="29"/>
    </row>
    <row r="87" ht="15.0" customHeight="1">
      <c r="A87" s="65">
        <v>77.0</v>
      </c>
      <c r="B87" s="92" t="str">
        <f>IF('INTERACTION-PAGE'!B79="","",'INTERACTION-PAGE'!B79)</f>
        <v/>
      </c>
      <c r="C87" s="92" t="str">
        <f>IF('INTERACTION-PAGE'!C79="","",'INTERACTION-PAGE'!C79)</f>
        <v/>
      </c>
      <c r="D87" s="92" t="str">
        <f>IF('INTERACTION-PAGE'!D79="","",'INTERACTION-PAGE'!D79)</f>
        <v/>
      </c>
      <c r="E87" s="92" t="str">
        <f>IF('INTERACTION-PAGE'!E79="","",'INTERACTION-PAGE'!E79)</f>
        <v/>
      </c>
      <c r="F87" s="92" t="str">
        <f>IF('INTERACTION-PAGE'!F79="","",'INTERACTION-PAGE'!F79)</f>
        <v/>
      </c>
      <c r="G87" s="92" t="str">
        <f>IF('INTERACTION-PAGE'!G79="","",'INTERACTION-PAGE'!G79)</f>
        <v/>
      </c>
      <c r="H87" s="92" t="str">
        <f>IF('INTERACTION-PAGE'!H79="","",'INTERACTION-PAGE'!H79)</f>
        <v/>
      </c>
      <c r="I87" s="92" t="str">
        <f>IF('INTERACTION-PAGE'!I79="","",'INTERACTION-PAGE'!I79)</f>
        <v/>
      </c>
      <c r="J87" s="92" t="str">
        <f>IF('INTERACTION-PAGE'!J79="","",'INTERACTION-PAGE'!J79)</f>
        <v/>
      </c>
      <c r="K87" s="92" t="str">
        <f>IF('INTERACTION-PAGE'!K79="","",'INTERACTION-PAGE'!K79)</f>
        <v/>
      </c>
      <c r="L87" s="92" t="str">
        <f>IF('INTERACTION-PAGE'!L79="","",'INTERACTION-PAGE'!L79)</f>
        <v/>
      </c>
      <c r="M87" s="92" t="str">
        <f>IF('INTERACTION-PAGE'!M79="","",'INTERACTION-PAGE'!M79)</f>
        <v/>
      </c>
      <c r="N87" s="92" t="str">
        <f>IF('INTERACTION-PAGE'!N79="","",'INTERACTION-PAGE'!N79)</f>
        <v/>
      </c>
      <c r="O87" s="92" t="str">
        <f>IF('INTERACTION-PAGE'!O79="","",'INTERACTION-PAGE'!O79)</f>
        <v/>
      </c>
      <c r="P87" s="92" t="str">
        <f>IF('INTERACTION-PAGE'!P79="","",'INTERACTION-PAGE'!P79)</f>
        <v/>
      </c>
      <c r="Q87" s="92" t="str">
        <f>IF('INTERACTION-PAGE'!Q79="","",'INTERACTION-PAGE'!Q79)</f>
        <v/>
      </c>
      <c r="R87" s="92" t="str">
        <f>IF('INTERACTION-PAGE'!R79="","",'INTERACTION-PAGE'!R79)</f>
        <v/>
      </c>
      <c r="S87" s="92" t="str">
        <f>IF('INTERACTION-PAGE'!S79="","",'INTERACTION-PAGE'!S79)</f>
        <v/>
      </c>
      <c r="T87" s="92" t="str">
        <f>IF('INTERACTION-PAGE'!T79="","",'INTERACTION-PAGE'!T79)</f>
        <v/>
      </c>
      <c r="U87" s="92" t="str">
        <f>IF('INTERACTION-PAGE'!U79="","",'INTERACTION-PAGE'!U79)</f>
        <v/>
      </c>
      <c r="V87" s="92" t="str">
        <f>IF('INTERACTION-PAGE'!V79="","",'INTERACTION-PAGE'!V79)</f>
        <v/>
      </c>
      <c r="W87" s="92" t="str">
        <f>IF('INTERACTION-PAGE'!W79="","",'INTERACTION-PAGE'!W79)</f>
        <v/>
      </c>
      <c r="X87" s="92" t="str">
        <f>IF('INTERACTION-PAGE'!X79="","",'INTERACTION-PAGE'!X79)</f>
        <v/>
      </c>
      <c r="Y87" s="167" t="str">
        <f t="shared" si="6"/>
        <v/>
      </c>
      <c r="Z87" s="167" t="str">
        <f t="shared" ref="Z87:AD87" si="81">IF(OR( $B87="", $B87="AB", $B87="UR", $C87="", $C87="AB", $C87="UR", $D87="AB", $D87="UR"),"",(IF(OR(E$10&gt;0,J$10&gt;0,O$10&gt;0,T$10&gt;0),(Z$10*(IF(AND(E$10&gt;0), IF(OR(E87="", E87="AB",E87="UR"),0,E87),0) +IF(AND(J$10&gt;0), IF(OR(J87="",J87="AB",J87=""),0,J87),0)+IF(AND(O$10&gt;0), IF(OR(O87="", O87="AB",O87="UR"),0,O87),0)+IF(AND(T$10&gt;0), IF(OR(T87="",T87="AB",T87="UR"),0,T87),0))/(E$10+J$10+O$10+T$10))," ")))</f>
        <v/>
      </c>
      <c r="AA87" s="167" t="str">
        <f t="shared" si="81"/>
        <v/>
      </c>
      <c r="AB87" s="167" t="str">
        <f t="shared" si="81"/>
        <v/>
      </c>
      <c r="AC87" s="167" t="str">
        <f t="shared" si="81"/>
        <v/>
      </c>
      <c r="AD87" s="167" t="str">
        <f t="shared" si="81"/>
        <v/>
      </c>
      <c r="AE87" s="168" t="str">
        <f t="shared" si="5"/>
        <v/>
      </c>
      <c r="AF87" s="29"/>
    </row>
    <row r="88" ht="15.0" customHeight="1">
      <c r="A88" s="79">
        <v>78.0</v>
      </c>
      <c r="B88" s="92" t="str">
        <f>IF('INTERACTION-PAGE'!B80="","",'INTERACTION-PAGE'!B80)</f>
        <v/>
      </c>
      <c r="C88" s="92" t="str">
        <f>IF('INTERACTION-PAGE'!C80="","",'INTERACTION-PAGE'!C80)</f>
        <v/>
      </c>
      <c r="D88" s="92" t="str">
        <f>IF('INTERACTION-PAGE'!D80="","",'INTERACTION-PAGE'!D80)</f>
        <v/>
      </c>
      <c r="E88" s="92" t="str">
        <f>IF('INTERACTION-PAGE'!E80="","",'INTERACTION-PAGE'!E80)</f>
        <v/>
      </c>
      <c r="F88" s="92" t="str">
        <f>IF('INTERACTION-PAGE'!F80="","",'INTERACTION-PAGE'!F80)</f>
        <v/>
      </c>
      <c r="G88" s="92" t="str">
        <f>IF('INTERACTION-PAGE'!G80="","",'INTERACTION-PAGE'!G80)</f>
        <v/>
      </c>
      <c r="H88" s="92" t="str">
        <f>IF('INTERACTION-PAGE'!H80="","",'INTERACTION-PAGE'!H80)</f>
        <v/>
      </c>
      <c r="I88" s="92" t="str">
        <f>IF('INTERACTION-PAGE'!I80="","",'INTERACTION-PAGE'!I80)</f>
        <v/>
      </c>
      <c r="J88" s="92" t="str">
        <f>IF('INTERACTION-PAGE'!J80="","",'INTERACTION-PAGE'!J80)</f>
        <v/>
      </c>
      <c r="K88" s="92" t="str">
        <f>IF('INTERACTION-PAGE'!K80="","",'INTERACTION-PAGE'!K80)</f>
        <v/>
      </c>
      <c r="L88" s="92" t="str">
        <f>IF('INTERACTION-PAGE'!L80="","",'INTERACTION-PAGE'!L80)</f>
        <v/>
      </c>
      <c r="M88" s="92" t="str">
        <f>IF('INTERACTION-PAGE'!M80="","",'INTERACTION-PAGE'!M80)</f>
        <v/>
      </c>
      <c r="N88" s="92" t="str">
        <f>IF('INTERACTION-PAGE'!N80="","",'INTERACTION-PAGE'!N80)</f>
        <v/>
      </c>
      <c r="O88" s="92" t="str">
        <f>IF('INTERACTION-PAGE'!O80="","",'INTERACTION-PAGE'!O80)</f>
        <v/>
      </c>
      <c r="P88" s="92" t="str">
        <f>IF('INTERACTION-PAGE'!P80="","",'INTERACTION-PAGE'!P80)</f>
        <v/>
      </c>
      <c r="Q88" s="92" t="str">
        <f>IF('INTERACTION-PAGE'!Q80="","",'INTERACTION-PAGE'!Q80)</f>
        <v/>
      </c>
      <c r="R88" s="92" t="str">
        <f>IF('INTERACTION-PAGE'!R80="","",'INTERACTION-PAGE'!R80)</f>
        <v/>
      </c>
      <c r="S88" s="92" t="str">
        <f>IF('INTERACTION-PAGE'!S80="","",'INTERACTION-PAGE'!S80)</f>
        <v/>
      </c>
      <c r="T88" s="92" t="str">
        <f>IF('INTERACTION-PAGE'!T80="","",'INTERACTION-PAGE'!T80)</f>
        <v/>
      </c>
      <c r="U88" s="92" t="str">
        <f>IF('INTERACTION-PAGE'!U80="","",'INTERACTION-PAGE'!U80)</f>
        <v/>
      </c>
      <c r="V88" s="92" t="str">
        <f>IF('INTERACTION-PAGE'!V80="","",'INTERACTION-PAGE'!V80)</f>
        <v/>
      </c>
      <c r="W88" s="92" t="str">
        <f>IF('INTERACTION-PAGE'!W80="","",'INTERACTION-PAGE'!W80)</f>
        <v/>
      </c>
      <c r="X88" s="92" t="str">
        <f>IF('INTERACTION-PAGE'!X80="","",'INTERACTION-PAGE'!X80)</f>
        <v/>
      </c>
      <c r="Y88" s="167" t="str">
        <f t="shared" si="6"/>
        <v/>
      </c>
      <c r="Z88" s="167" t="str">
        <f t="shared" ref="Z88:AD88" si="82">IF(OR( $B88="", $B88="AB", $B88="UR", $C88="", $C88="AB", $C88="UR", $D88="AB", $D88="UR"),"",(IF(OR(E$10&gt;0,J$10&gt;0,O$10&gt;0,T$10&gt;0),(Z$10*(IF(AND(E$10&gt;0), IF(OR(E88="", E88="AB",E88="UR"),0,E88),0) +IF(AND(J$10&gt;0), IF(OR(J88="",J88="AB",J88=""),0,J88),0)+IF(AND(O$10&gt;0), IF(OR(O88="", O88="AB",O88="UR"),0,O88),0)+IF(AND(T$10&gt;0), IF(OR(T88="",T88="AB",T88="UR"),0,T88),0))/(E$10+J$10+O$10+T$10))," ")))</f>
        <v/>
      </c>
      <c r="AA88" s="167" t="str">
        <f t="shared" si="82"/>
        <v/>
      </c>
      <c r="AB88" s="167" t="str">
        <f t="shared" si="82"/>
        <v/>
      </c>
      <c r="AC88" s="167" t="str">
        <f t="shared" si="82"/>
        <v/>
      </c>
      <c r="AD88" s="167" t="str">
        <f t="shared" si="82"/>
        <v/>
      </c>
      <c r="AE88" s="168" t="str">
        <f t="shared" si="5"/>
        <v/>
      </c>
      <c r="AF88" s="29"/>
    </row>
    <row r="89" ht="15.0" customHeight="1">
      <c r="A89" s="65">
        <v>79.0</v>
      </c>
      <c r="B89" s="92" t="str">
        <f>IF('INTERACTION-PAGE'!B81="","",'INTERACTION-PAGE'!B81)</f>
        <v/>
      </c>
      <c r="C89" s="92" t="str">
        <f>IF('INTERACTION-PAGE'!C81="","",'INTERACTION-PAGE'!C81)</f>
        <v/>
      </c>
      <c r="D89" s="92" t="str">
        <f>IF('INTERACTION-PAGE'!D81="","",'INTERACTION-PAGE'!D81)</f>
        <v/>
      </c>
      <c r="E89" s="92" t="str">
        <f>IF('INTERACTION-PAGE'!E81="","",'INTERACTION-PAGE'!E81)</f>
        <v/>
      </c>
      <c r="F89" s="92" t="str">
        <f>IF('INTERACTION-PAGE'!F81="","",'INTERACTION-PAGE'!F81)</f>
        <v/>
      </c>
      <c r="G89" s="92" t="str">
        <f>IF('INTERACTION-PAGE'!G81="","",'INTERACTION-PAGE'!G81)</f>
        <v/>
      </c>
      <c r="H89" s="92" t="str">
        <f>IF('INTERACTION-PAGE'!H81="","",'INTERACTION-PAGE'!H81)</f>
        <v/>
      </c>
      <c r="I89" s="92" t="str">
        <f>IF('INTERACTION-PAGE'!I81="","",'INTERACTION-PAGE'!I81)</f>
        <v/>
      </c>
      <c r="J89" s="92" t="str">
        <f>IF('INTERACTION-PAGE'!J81="","",'INTERACTION-PAGE'!J81)</f>
        <v/>
      </c>
      <c r="K89" s="92" t="str">
        <f>IF('INTERACTION-PAGE'!K81="","",'INTERACTION-PAGE'!K81)</f>
        <v/>
      </c>
      <c r="L89" s="92" t="str">
        <f>IF('INTERACTION-PAGE'!L81="","",'INTERACTION-PAGE'!L81)</f>
        <v/>
      </c>
      <c r="M89" s="92" t="str">
        <f>IF('INTERACTION-PAGE'!M81="","",'INTERACTION-PAGE'!M81)</f>
        <v/>
      </c>
      <c r="N89" s="92" t="str">
        <f>IF('INTERACTION-PAGE'!N81="","",'INTERACTION-PAGE'!N81)</f>
        <v/>
      </c>
      <c r="O89" s="92" t="str">
        <f>IF('INTERACTION-PAGE'!O81="","",'INTERACTION-PAGE'!O81)</f>
        <v/>
      </c>
      <c r="P89" s="92" t="str">
        <f>IF('INTERACTION-PAGE'!P81="","",'INTERACTION-PAGE'!P81)</f>
        <v/>
      </c>
      <c r="Q89" s="92" t="str">
        <f>IF('INTERACTION-PAGE'!Q81="","",'INTERACTION-PAGE'!Q81)</f>
        <v/>
      </c>
      <c r="R89" s="92" t="str">
        <f>IF('INTERACTION-PAGE'!R81="","",'INTERACTION-PAGE'!R81)</f>
        <v/>
      </c>
      <c r="S89" s="92" t="str">
        <f>IF('INTERACTION-PAGE'!S81="","",'INTERACTION-PAGE'!S81)</f>
        <v/>
      </c>
      <c r="T89" s="92" t="str">
        <f>IF('INTERACTION-PAGE'!T81="","",'INTERACTION-PAGE'!T81)</f>
        <v/>
      </c>
      <c r="U89" s="92" t="str">
        <f>IF('INTERACTION-PAGE'!U81="","",'INTERACTION-PAGE'!U81)</f>
        <v/>
      </c>
      <c r="V89" s="92" t="str">
        <f>IF('INTERACTION-PAGE'!V81="","",'INTERACTION-PAGE'!V81)</f>
        <v/>
      </c>
      <c r="W89" s="92" t="str">
        <f>IF('INTERACTION-PAGE'!W81="","",'INTERACTION-PAGE'!W81)</f>
        <v/>
      </c>
      <c r="X89" s="92" t="str">
        <f>IF('INTERACTION-PAGE'!X81="","",'INTERACTION-PAGE'!X81)</f>
        <v/>
      </c>
      <c r="Y89" s="167" t="str">
        <f t="shared" si="6"/>
        <v/>
      </c>
      <c r="Z89" s="167" t="str">
        <f t="shared" ref="Z89:AD89" si="83">IF(OR( $B89="", $B89="AB", $B89="UR", $C89="", $C89="AB", $C89="UR", $D89="AB", $D89="UR"),"",(IF(OR(E$10&gt;0,J$10&gt;0,O$10&gt;0,T$10&gt;0),(Z$10*(IF(AND(E$10&gt;0), IF(OR(E89="", E89="AB",E89="UR"),0,E89),0) +IF(AND(J$10&gt;0), IF(OR(J89="",J89="AB",J89=""),0,J89),0)+IF(AND(O$10&gt;0), IF(OR(O89="", O89="AB",O89="UR"),0,O89),0)+IF(AND(T$10&gt;0), IF(OR(T89="",T89="AB",T89="UR"),0,T89),0))/(E$10+J$10+O$10+T$10))," ")))</f>
        <v/>
      </c>
      <c r="AA89" s="167" t="str">
        <f t="shared" si="83"/>
        <v/>
      </c>
      <c r="AB89" s="167" t="str">
        <f t="shared" si="83"/>
        <v/>
      </c>
      <c r="AC89" s="167" t="str">
        <f t="shared" si="83"/>
        <v/>
      </c>
      <c r="AD89" s="167" t="str">
        <f t="shared" si="83"/>
        <v/>
      </c>
      <c r="AE89" s="168" t="str">
        <f t="shared" si="5"/>
        <v/>
      </c>
      <c r="AF89" s="29"/>
    </row>
    <row r="90" ht="15.0" customHeight="1">
      <c r="A90" s="79">
        <v>80.0</v>
      </c>
      <c r="B90" s="92" t="str">
        <f>IF('INTERACTION-PAGE'!B82="","",'INTERACTION-PAGE'!B82)</f>
        <v/>
      </c>
      <c r="C90" s="92" t="str">
        <f>IF('INTERACTION-PAGE'!C82="","",'INTERACTION-PAGE'!C82)</f>
        <v/>
      </c>
      <c r="D90" s="92" t="str">
        <f>IF('INTERACTION-PAGE'!D82="","",'INTERACTION-PAGE'!D82)</f>
        <v/>
      </c>
      <c r="E90" s="92" t="str">
        <f>IF('INTERACTION-PAGE'!E82="","",'INTERACTION-PAGE'!E82)</f>
        <v/>
      </c>
      <c r="F90" s="92" t="str">
        <f>IF('INTERACTION-PAGE'!F82="","",'INTERACTION-PAGE'!F82)</f>
        <v/>
      </c>
      <c r="G90" s="92" t="str">
        <f>IF('INTERACTION-PAGE'!G82="","",'INTERACTION-PAGE'!G82)</f>
        <v/>
      </c>
      <c r="H90" s="92" t="str">
        <f>IF('INTERACTION-PAGE'!H82="","",'INTERACTION-PAGE'!H82)</f>
        <v/>
      </c>
      <c r="I90" s="92" t="str">
        <f>IF('INTERACTION-PAGE'!I82="","",'INTERACTION-PAGE'!I82)</f>
        <v/>
      </c>
      <c r="J90" s="92" t="str">
        <f>IF('INTERACTION-PAGE'!J82="","",'INTERACTION-PAGE'!J82)</f>
        <v/>
      </c>
      <c r="K90" s="92" t="str">
        <f>IF('INTERACTION-PAGE'!K82="","",'INTERACTION-PAGE'!K82)</f>
        <v/>
      </c>
      <c r="L90" s="92" t="str">
        <f>IF('INTERACTION-PAGE'!L82="","",'INTERACTION-PAGE'!L82)</f>
        <v/>
      </c>
      <c r="M90" s="92" t="str">
        <f>IF('INTERACTION-PAGE'!M82="","",'INTERACTION-PAGE'!M82)</f>
        <v/>
      </c>
      <c r="N90" s="92" t="str">
        <f>IF('INTERACTION-PAGE'!N82="","",'INTERACTION-PAGE'!N82)</f>
        <v/>
      </c>
      <c r="O90" s="92" t="str">
        <f>IF('INTERACTION-PAGE'!O82="","",'INTERACTION-PAGE'!O82)</f>
        <v/>
      </c>
      <c r="P90" s="92" t="str">
        <f>IF('INTERACTION-PAGE'!P82="","",'INTERACTION-PAGE'!P82)</f>
        <v/>
      </c>
      <c r="Q90" s="92" t="str">
        <f>IF('INTERACTION-PAGE'!Q82="","",'INTERACTION-PAGE'!Q82)</f>
        <v/>
      </c>
      <c r="R90" s="92" t="str">
        <f>IF('INTERACTION-PAGE'!R82="","",'INTERACTION-PAGE'!R82)</f>
        <v/>
      </c>
      <c r="S90" s="92" t="str">
        <f>IF('INTERACTION-PAGE'!S82="","",'INTERACTION-PAGE'!S82)</f>
        <v/>
      </c>
      <c r="T90" s="92" t="str">
        <f>IF('INTERACTION-PAGE'!T82="","",'INTERACTION-PAGE'!T82)</f>
        <v/>
      </c>
      <c r="U90" s="92" t="str">
        <f>IF('INTERACTION-PAGE'!U82="","",'INTERACTION-PAGE'!U82)</f>
        <v/>
      </c>
      <c r="V90" s="92" t="str">
        <f>IF('INTERACTION-PAGE'!V82="","",'INTERACTION-PAGE'!V82)</f>
        <v/>
      </c>
      <c r="W90" s="92" t="str">
        <f>IF('INTERACTION-PAGE'!W82="","",'INTERACTION-PAGE'!W82)</f>
        <v/>
      </c>
      <c r="X90" s="92" t="str">
        <f>IF('INTERACTION-PAGE'!X82="","",'INTERACTION-PAGE'!X82)</f>
        <v/>
      </c>
      <c r="Y90" s="167" t="str">
        <f t="shared" si="6"/>
        <v/>
      </c>
      <c r="Z90" s="167" t="str">
        <f t="shared" ref="Z90:AD90" si="84">IF(OR( $B90="", $B90="AB", $B90="UR", $C90="", $C90="AB", $C90="UR", $D90="AB", $D90="UR"),"",(IF(OR(E$10&gt;0,J$10&gt;0,O$10&gt;0,T$10&gt;0),(Z$10*(IF(AND(E$10&gt;0), IF(OR(E90="", E90="AB",E90="UR"),0,E90),0) +IF(AND(J$10&gt;0), IF(OR(J90="",J90="AB",J90=""),0,J90),0)+IF(AND(O$10&gt;0), IF(OR(O90="", O90="AB",O90="UR"),0,O90),0)+IF(AND(T$10&gt;0), IF(OR(T90="",T90="AB",T90="UR"),0,T90),0))/(E$10+J$10+O$10+T$10))," ")))</f>
        <v/>
      </c>
      <c r="AA90" s="167" t="str">
        <f t="shared" si="84"/>
        <v/>
      </c>
      <c r="AB90" s="167" t="str">
        <f t="shared" si="84"/>
        <v/>
      </c>
      <c r="AC90" s="167" t="str">
        <f t="shared" si="84"/>
        <v/>
      </c>
      <c r="AD90" s="167" t="str">
        <f t="shared" si="84"/>
        <v/>
      </c>
      <c r="AE90" s="168" t="str">
        <f t="shared" si="5"/>
        <v/>
      </c>
      <c r="AF90" s="29"/>
    </row>
    <row r="91" ht="15.0" customHeight="1">
      <c r="A91" s="65">
        <v>81.0</v>
      </c>
      <c r="B91" s="92" t="str">
        <f>IF('INTERACTION-PAGE'!B83="","",'INTERACTION-PAGE'!B83)</f>
        <v/>
      </c>
      <c r="C91" s="92" t="str">
        <f>IF('INTERACTION-PAGE'!C83="","",'INTERACTION-PAGE'!C83)</f>
        <v/>
      </c>
      <c r="D91" s="92" t="str">
        <f>IF('INTERACTION-PAGE'!D83="","",'INTERACTION-PAGE'!D83)</f>
        <v/>
      </c>
      <c r="E91" s="92" t="str">
        <f>IF('INTERACTION-PAGE'!E83="","",'INTERACTION-PAGE'!E83)</f>
        <v/>
      </c>
      <c r="F91" s="92" t="str">
        <f>IF('INTERACTION-PAGE'!F83="","",'INTERACTION-PAGE'!F83)</f>
        <v/>
      </c>
      <c r="G91" s="92" t="str">
        <f>IF('INTERACTION-PAGE'!G83="","",'INTERACTION-PAGE'!G83)</f>
        <v/>
      </c>
      <c r="H91" s="92" t="str">
        <f>IF('INTERACTION-PAGE'!H83="","",'INTERACTION-PAGE'!H83)</f>
        <v/>
      </c>
      <c r="I91" s="92" t="str">
        <f>IF('INTERACTION-PAGE'!I83="","",'INTERACTION-PAGE'!I83)</f>
        <v/>
      </c>
      <c r="J91" s="92" t="str">
        <f>IF('INTERACTION-PAGE'!J83="","",'INTERACTION-PAGE'!J83)</f>
        <v/>
      </c>
      <c r="K91" s="92" t="str">
        <f>IF('INTERACTION-PAGE'!K83="","",'INTERACTION-PAGE'!K83)</f>
        <v/>
      </c>
      <c r="L91" s="92" t="str">
        <f>IF('INTERACTION-PAGE'!L83="","",'INTERACTION-PAGE'!L83)</f>
        <v/>
      </c>
      <c r="M91" s="92" t="str">
        <f>IF('INTERACTION-PAGE'!M83="","",'INTERACTION-PAGE'!M83)</f>
        <v/>
      </c>
      <c r="N91" s="92" t="str">
        <f>IF('INTERACTION-PAGE'!N83="","",'INTERACTION-PAGE'!N83)</f>
        <v/>
      </c>
      <c r="O91" s="92" t="str">
        <f>IF('INTERACTION-PAGE'!O83="","",'INTERACTION-PAGE'!O83)</f>
        <v/>
      </c>
      <c r="P91" s="92" t="str">
        <f>IF('INTERACTION-PAGE'!P83="","",'INTERACTION-PAGE'!P83)</f>
        <v/>
      </c>
      <c r="Q91" s="92" t="str">
        <f>IF('INTERACTION-PAGE'!Q83="","",'INTERACTION-PAGE'!Q83)</f>
        <v/>
      </c>
      <c r="R91" s="92" t="str">
        <f>IF('INTERACTION-PAGE'!R83="","",'INTERACTION-PAGE'!R83)</f>
        <v/>
      </c>
      <c r="S91" s="92" t="str">
        <f>IF('INTERACTION-PAGE'!S83="","",'INTERACTION-PAGE'!S83)</f>
        <v/>
      </c>
      <c r="T91" s="92" t="str">
        <f>IF('INTERACTION-PAGE'!T83="","",'INTERACTION-PAGE'!T83)</f>
        <v/>
      </c>
      <c r="U91" s="92" t="str">
        <f>IF('INTERACTION-PAGE'!U83="","",'INTERACTION-PAGE'!U83)</f>
        <v/>
      </c>
      <c r="V91" s="92" t="str">
        <f>IF('INTERACTION-PAGE'!V83="","",'INTERACTION-PAGE'!V83)</f>
        <v/>
      </c>
      <c r="W91" s="92" t="str">
        <f>IF('INTERACTION-PAGE'!W83="","",'INTERACTION-PAGE'!W83)</f>
        <v/>
      </c>
      <c r="X91" s="92" t="str">
        <f>IF('INTERACTION-PAGE'!X83="","",'INTERACTION-PAGE'!X83)</f>
        <v/>
      </c>
      <c r="Y91" s="167" t="str">
        <f t="shared" si="6"/>
        <v/>
      </c>
      <c r="Z91" s="167" t="str">
        <f t="shared" ref="Z91:AD91" si="85">IF(OR( $B91="", $B91="AB", $B91="UR", $C91="", $C91="AB", $C91="UR", $D91="AB", $D91="UR"),"",(IF(OR(E$10&gt;0,J$10&gt;0,O$10&gt;0,T$10&gt;0),(Z$10*(IF(AND(E$10&gt;0), IF(OR(E91="", E91="AB",E91="UR"),0,E91),0) +IF(AND(J$10&gt;0), IF(OR(J91="",J91="AB",J91=""),0,J91),0)+IF(AND(O$10&gt;0), IF(OR(O91="", O91="AB",O91="UR"),0,O91),0)+IF(AND(T$10&gt;0), IF(OR(T91="",T91="AB",T91="UR"),0,T91),0))/(E$10+J$10+O$10+T$10))," ")))</f>
        <v/>
      </c>
      <c r="AA91" s="167" t="str">
        <f t="shared" si="85"/>
        <v/>
      </c>
      <c r="AB91" s="167" t="str">
        <f t="shared" si="85"/>
        <v/>
      </c>
      <c r="AC91" s="167" t="str">
        <f t="shared" si="85"/>
        <v/>
      </c>
      <c r="AD91" s="167" t="str">
        <f t="shared" si="85"/>
        <v/>
      </c>
      <c r="AE91" s="168" t="str">
        <f t="shared" si="5"/>
        <v/>
      </c>
      <c r="AF91" s="29"/>
    </row>
    <row r="92" ht="15.0" customHeight="1">
      <c r="A92" s="79">
        <v>82.0</v>
      </c>
      <c r="B92" s="92" t="str">
        <f>IF('INTERACTION-PAGE'!B84="","",'INTERACTION-PAGE'!B84)</f>
        <v/>
      </c>
      <c r="C92" s="92" t="str">
        <f>IF('INTERACTION-PAGE'!C84="","",'INTERACTION-PAGE'!C84)</f>
        <v/>
      </c>
      <c r="D92" s="92" t="str">
        <f>IF('INTERACTION-PAGE'!D84="","",'INTERACTION-PAGE'!D84)</f>
        <v/>
      </c>
      <c r="E92" s="92" t="str">
        <f>IF('INTERACTION-PAGE'!E84="","",'INTERACTION-PAGE'!E84)</f>
        <v/>
      </c>
      <c r="F92" s="92" t="str">
        <f>IF('INTERACTION-PAGE'!F84="","",'INTERACTION-PAGE'!F84)</f>
        <v/>
      </c>
      <c r="G92" s="92" t="str">
        <f>IF('INTERACTION-PAGE'!G84="","",'INTERACTION-PAGE'!G84)</f>
        <v/>
      </c>
      <c r="H92" s="92" t="str">
        <f>IF('INTERACTION-PAGE'!H84="","",'INTERACTION-PAGE'!H84)</f>
        <v/>
      </c>
      <c r="I92" s="92" t="str">
        <f>IF('INTERACTION-PAGE'!I84="","",'INTERACTION-PAGE'!I84)</f>
        <v/>
      </c>
      <c r="J92" s="92" t="str">
        <f>IF('INTERACTION-PAGE'!J84="","",'INTERACTION-PAGE'!J84)</f>
        <v/>
      </c>
      <c r="K92" s="92" t="str">
        <f>IF('INTERACTION-PAGE'!K84="","",'INTERACTION-PAGE'!K84)</f>
        <v/>
      </c>
      <c r="L92" s="92" t="str">
        <f>IF('INTERACTION-PAGE'!L84="","",'INTERACTION-PAGE'!L84)</f>
        <v/>
      </c>
      <c r="M92" s="92" t="str">
        <f>IF('INTERACTION-PAGE'!M84="","",'INTERACTION-PAGE'!M84)</f>
        <v/>
      </c>
      <c r="N92" s="92" t="str">
        <f>IF('INTERACTION-PAGE'!N84="","",'INTERACTION-PAGE'!N84)</f>
        <v/>
      </c>
      <c r="O92" s="92" t="str">
        <f>IF('INTERACTION-PAGE'!O84="","",'INTERACTION-PAGE'!O84)</f>
        <v/>
      </c>
      <c r="P92" s="92" t="str">
        <f>IF('INTERACTION-PAGE'!P84="","",'INTERACTION-PAGE'!P84)</f>
        <v/>
      </c>
      <c r="Q92" s="92" t="str">
        <f>IF('INTERACTION-PAGE'!Q84="","",'INTERACTION-PAGE'!Q84)</f>
        <v/>
      </c>
      <c r="R92" s="92" t="str">
        <f>IF('INTERACTION-PAGE'!R84="","",'INTERACTION-PAGE'!R84)</f>
        <v/>
      </c>
      <c r="S92" s="92" t="str">
        <f>IF('INTERACTION-PAGE'!S84="","",'INTERACTION-PAGE'!S84)</f>
        <v/>
      </c>
      <c r="T92" s="92" t="str">
        <f>IF('INTERACTION-PAGE'!T84="","",'INTERACTION-PAGE'!T84)</f>
        <v/>
      </c>
      <c r="U92" s="92" t="str">
        <f>IF('INTERACTION-PAGE'!U84="","",'INTERACTION-PAGE'!U84)</f>
        <v/>
      </c>
      <c r="V92" s="92" t="str">
        <f>IF('INTERACTION-PAGE'!V84="","",'INTERACTION-PAGE'!V84)</f>
        <v/>
      </c>
      <c r="W92" s="92" t="str">
        <f>IF('INTERACTION-PAGE'!W84="","",'INTERACTION-PAGE'!W84)</f>
        <v/>
      </c>
      <c r="X92" s="92" t="str">
        <f>IF('INTERACTION-PAGE'!X84="","",'INTERACTION-PAGE'!X84)</f>
        <v/>
      </c>
      <c r="Y92" s="167" t="str">
        <f t="shared" si="6"/>
        <v/>
      </c>
      <c r="Z92" s="167" t="str">
        <f t="shared" ref="Z92:AD92" si="86">IF(OR( $B92="", $B92="AB", $B92="UR", $C92="", $C92="AB", $C92="UR", $D92="AB", $D92="UR"),"",(IF(OR(E$10&gt;0,J$10&gt;0,O$10&gt;0,T$10&gt;0),(Z$10*(IF(AND(E$10&gt;0), IF(OR(E92="", E92="AB",E92="UR"),0,E92),0) +IF(AND(J$10&gt;0), IF(OR(J92="",J92="AB",J92=""),0,J92),0)+IF(AND(O$10&gt;0), IF(OR(O92="", O92="AB",O92="UR"),0,O92),0)+IF(AND(T$10&gt;0), IF(OR(T92="",T92="AB",T92="UR"),0,T92),0))/(E$10+J$10+O$10+T$10))," ")))</f>
        <v/>
      </c>
      <c r="AA92" s="167" t="str">
        <f t="shared" si="86"/>
        <v/>
      </c>
      <c r="AB92" s="167" t="str">
        <f t="shared" si="86"/>
        <v/>
      </c>
      <c r="AC92" s="167" t="str">
        <f t="shared" si="86"/>
        <v/>
      </c>
      <c r="AD92" s="167" t="str">
        <f t="shared" si="86"/>
        <v/>
      </c>
      <c r="AE92" s="168" t="str">
        <f t="shared" si="5"/>
        <v/>
      </c>
      <c r="AF92" s="29"/>
    </row>
    <row r="93" ht="15.0" customHeight="1">
      <c r="A93" s="65">
        <v>83.0</v>
      </c>
      <c r="B93" s="92" t="str">
        <f>IF('INTERACTION-PAGE'!B85="","",'INTERACTION-PAGE'!B85)</f>
        <v/>
      </c>
      <c r="C93" s="92" t="str">
        <f>IF('INTERACTION-PAGE'!C85="","",'INTERACTION-PAGE'!C85)</f>
        <v/>
      </c>
      <c r="D93" s="92" t="str">
        <f>IF('INTERACTION-PAGE'!D85="","",'INTERACTION-PAGE'!D85)</f>
        <v/>
      </c>
      <c r="E93" s="92" t="str">
        <f>IF('INTERACTION-PAGE'!E85="","",'INTERACTION-PAGE'!E85)</f>
        <v/>
      </c>
      <c r="F93" s="92" t="str">
        <f>IF('INTERACTION-PAGE'!F85="","",'INTERACTION-PAGE'!F85)</f>
        <v/>
      </c>
      <c r="G93" s="92" t="str">
        <f>IF('INTERACTION-PAGE'!G85="","",'INTERACTION-PAGE'!G85)</f>
        <v/>
      </c>
      <c r="H93" s="92" t="str">
        <f>IF('INTERACTION-PAGE'!H85="","",'INTERACTION-PAGE'!H85)</f>
        <v/>
      </c>
      <c r="I93" s="92" t="str">
        <f>IF('INTERACTION-PAGE'!I85="","",'INTERACTION-PAGE'!I85)</f>
        <v/>
      </c>
      <c r="J93" s="92" t="str">
        <f>IF('INTERACTION-PAGE'!J85="","",'INTERACTION-PAGE'!J85)</f>
        <v/>
      </c>
      <c r="K93" s="92" t="str">
        <f>IF('INTERACTION-PAGE'!K85="","",'INTERACTION-PAGE'!K85)</f>
        <v/>
      </c>
      <c r="L93" s="92" t="str">
        <f>IF('INTERACTION-PAGE'!L85="","",'INTERACTION-PAGE'!L85)</f>
        <v/>
      </c>
      <c r="M93" s="92" t="str">
        <f>IF('INTERACTION-PAGE'!M85="","",'INTERACTION-PAGE'!M85)</f>
        <v/>
      </c>
      <c r="N93" s="92" t="str">
        <f>IF('INTERACTION-PAGE'!N85="","",'INTERACTION-PAGE'!N85)</f>
        <v/>
      </c>
      <c r="O93" s="92" t="str">
        <f>IF('INTERACTION-PAGE'!O85="","",'INTERACTION-PAGE'!O85)</f>
        <v/>
      </c>
      <c r="P93" s="92" t="str">
        <f>IF('INTERACTION-PAGE'!P85="","",'INTERACTION-PAGE'!P85)</f>
        <v/>
      </c>
      <c r="Q93" s="92" t="str">
        <f>IF('INTERACTION-PAGE'!Q85="","",'INTERACTION-PAGE'!Q85)</f>
        <v/>
      </c>
      <c r="R93" s="92" t="str">
        <f>IF('INTERACTION-PAGE'!R85="","",'INTERACTION-PAGE'!R85)</f>
        <v/>
      </c>
      <c r="S93" s="92" t="str">
        <f>IF('INTERACTION-PAGE'!S85="","",'INTERACTION-PAGE'!S85)</f>
        <v/>
      </c>
      <c r="T93" s="92" t="str">
        <f>IF('INTERACTION-PAGE'!T85="","",'INTERACTION-PAGE'!T85)</f>
        <v/>
      </c>
      <c r="U93" s="92" t="str">
        <f>IF('INTERACTION-PAGE'!U85="","",'INTERACTION-PAGE'!U85)</f>
        <v/>
      </c>
      <c r="V93" s="92" t="str">
        <f>IF('INTERACTION-PAGE'!V85="","",'INTERACTION-PAGE'!V85)</f>
        <v/>
      </c>
      <c r="W93" s="92" t="str">
        <f>IF('INTERACTION-PAGE'!W85="","",'INTERACTION-PAGE'!W85)</f>
        <v/>
      </c>
      <c r="X93" s="92" t="str">
        <f>IF('INTERACTION-PAGE'!X85="","",'INTERACTION-PAGE'!X85)</f>
        <v/>
      </c>
      <c r="Y93" s="167" t="str">
        <f t="shared" si="6"/>
        <v/>
      </c>
      <c r="Z93" s="167" t="str">
        <f t="shared" ref="Z93:AD93" si="87">IF(OR( $B93="", $B93="AB", $B93="UR", $C93="", $C93="AB", $C93="UR", $D93="AB", $D93="UR"),"",(IF(OR(E$10&gt;0,J$10&gt;0,O$10&gt;0,T$10&gt;0),(Z$10*(IF(AND(E$10&gt;0), IF(OR(E93="", E93="AB",E93="UR"),0,E93),0) +IF(AND(J$10&gt;0), IF(OR(J93="",J93="AB",J93=""),0,J93),0)+IF(AND(O$10&gt;0), IF(OR(O93="", O93="AB",O93="UR"),0,O93),0)+IF(AND(T$10&gt;0), IF(OR(T93="",T93="AB",T93="UR"),0,T93),0))/(E$10+J$10+O$10+T$10))," ")))</f>
        <v/>
      </c>
      <c r="AA93" s="167" t="str">
        <f t="shared" si="87"/>
        <v/>
      </c>
      <c r="AB93" s="167" t="str">
        <f t="shared" si="87"/>
        <v/>
      </c>
      <c r="AC93" s="167" t="str">
        <f t="shared" si="87"/>
        <v/>
      </c>
      <c r="AD93" s="167" t="str">
        <f t="shared" si="87"/>
        <v/>
      </c>
      <c r="AE93" s="168" t="str">
        <f t="shared" si="5"/>
        <v/>
      </c>
      <c r="AF93" s="29"/>
    </row>
    <row r="94" ht="15.0" customHeight="1">
      <c r="A94" s="79">
        <v>84.0</v>
      </c>
      <c r="B94" s="92" t="str">
        <f>IF('INTERACTION-PAGE'!B86="","",'INTERACTION-PAGE'!B86)</f>
        <v/>
      </c>
      <c r="C94" s="92" t="str">
        <f>IF('INTERACTION-PAGE'!C86="","",'INTERACTION-PAGE'!C86)</f>
        <v/>
      </c>
      <c r="D94" s="92" t="str">
        <f>IF('INTERACTION-PAGE'!D86="","",'INTERACTION-PAGE'!D86)</f>
        <v/>
      </c>
      <c r="E94" s="92" t="str">
        <f>IF('INTERACTION-PAGE'!E86="","",'INTERACTION-PAGE'!E86)</f>
        <v/>
      </c>
      <c r="F94" s="92" t="str">
        <f>IF('INTERACTION-PAGE'!F86="","",'INTERACTION-PAGE'!F86)</f>
        <v/>
      </c>
      <c r="G94" s="92" t="str">
        <f>IF('INTERACTION-PAGE'!G86="","",'INTERACTION-PAGE'!G86)</f>
        <v/>
      </c>
      <c r="H94" s="92" t="str">
        <f>IF('INTERACTION-PAGE'!H86="","",'INTERACTION-PAGE'!H86)</f>
        <v/>
      </c>
      <c r="I94" s="92" t="str">
        <f>IF('INTERACTION-PAGE'!I86="","",'INTERACTION-PAGE'!I86)</f>
        <v/>
      </c>
      <c r="J94" s="92" t="str">
        <f>IF('INTERACTION-PAGE'!J86="","",'INTERACTION-PAGE'!J86)</f>
        <v/>
      </c>
      <c r="K94" s="92" t="str">
        <f>IF('INTERACTION-PAGE'!K86="","",'INTERACTION-PAGE'!K86)</f>
        <v/>
      </c>
      <c r="L94" s="92" t="str">
        <f>IF('INTERACTION-PAGE'!L86="","",'INTERACTION-PAGE'!L86)</f>
        <v/>
      </c>
      <c r="M94" s="92" t="str">
        <f>IF('INTERACTION-PAGE'!M86="","",'INTERACTION-PAGE'!M86)</f>
        <v/>
      </c>
      <c r="N94" s="92" t="str">
        <f>IF('INTERACTION-PAGE'!N86="","",'INTERACTION-PAGE'!N86)</f>
        <v/>
      </c>
      <c r="O94" s="92" t="str">
        <f>IF('INTERACTION-PAGE'!O86="","",'INTERACTION-PAGE'!O86)</f>
        <v/>
      </c>
      <c r="P94" s="92" t="str">
        <f>IF('INTERACTION-PAGE'!P86="","",'INTERACTION-PAGE'!P86)</f>
        <v/>
      </c>
      <c r="Q94" s="92" t="str">
        <f>IF('INTERACTION-PAGE'!Q86="","",'INTERACTION-PAGE'!Q86)</f>
        <v/>
      </c>
      <c r="R94" s="92" t="str">
        <f>IF('INTERACTION-PAGE'!R86="","",'INTERACTION-PAGE'!R86)</f>
        <v/>
      </c>
      <c r="S94" s="92" t="str">
        <f>IF('INTERACTION-PAGE'!S86="","",'INTERACTION-PAGE'!S86)</f>
        <v/>
      </c>
      <c r="T94" s="92" t="str">
        <f>IF('INTERACTION-PAGE'!T86="","",'INTERACTION-PAGE'!T86)</f>
        <v/>
      </c>
      <c r="U94" s="92" t="str">
        <f>IF('INTERACTION-PAGE'!U86="","",'INTERACTION-PAGE'!U86)</f>
        <v/>
      </c>
      <c r="V94" s="92" t="str">
        <f>IF('INTERACTION-PAGE'!V86="","",'INTERACTION-PAGE'!V86)</f>
        <v/>
      </c>
      <c r="W94" s="92" t="str">
        <f>IF('INTERACTION-PAGE'!W86="","",'INTERACTION-PAGE'!W86)</f>
        <v/>
      </c>
      <c r="X94" s="92" t="str">
        <f>IF('INTERACTION-PAGE'!X86="","",'INTERACTION-PAGE'!X86)</f>
        <v/>
      </c>
      <c r="Y94" s="167" t="str">
        <f t="shared" si="6"/>
        <v/>
      </c>
      <c r="Z94" s="167" t="str">
        <f t="shared" ref="Z94:AD94" si="88">IF(OR( $B94="", $B94="AB", $B94="UR", $C94="", $C94="AB", $C94="UR", $D94="AB", $D94="UR"),"",(IF(OR(E$10&gt;0,J$10&gt;0,O$10&gt;0,T$10&gt;0),(Z$10*(IF(AND(E$10&gt;0), IF(OR(E94="", E94="AB",E94="UR"),0,E94),0) +IF(AND(J$10&gt;0), IF(OR(J94="",J94="AB",J94=""),0,J94),0)+IF(AND(O$10&gt;0), IF(OR(O94="", O94="AB",O94="UR"),0,O94),0)+IF(AND(T$10&gt;0), IF(OR(T94="",T94="AB",T94="UR"),0,T94),0))/(E$10+J$10+O$10+T$10))," ")))</f>
        <v/>
      </c>
      <c r="AA94" s="167" t="str">
        <f t="shared" si="88"/>
        <v/>
      </c>
      <c r="AB94" s="167" t="str">
        <f t="shared" si="88"/>
        <v/>
      </c>
      <c r="AC94" s="167" t="str">
        <f t="shared" si="88"/>
        <v/>
      </c>
      <c r="AD94" s="167" t="str">
        <f t="shared" si="88"/>
        <v/>
      </c>
      <c r="AE94" s="168" t="str">
        <f t="shared" si="5"/>
        <v/>
      </c>
      <c r="AF94" s="29"/>
    </row>
    <row r="95" ht="15.0" customHeight="1">
      <c r="A95" s="65">
        <v>85.0</v>
      </c>
      <c r="B95" s="92" t="str">
        <f>IF('INTERACTION-PAGE'!B87="","",'INTERACTION-PAGE'!B87)</f>
        <v/>
      </c>
      <c r="C95" s="92" t="str">
        <f>IF('INTERACTION-PAGE'!C87="","",'INTERACTION-PAGE'!C87)</f>
        <v/>
      </c>
      <c r="D95" s="92" t="str">
        <f>IF('INTERACTION-PAGE'!D87="","",'INTERACTION-PAGE'!D87)</f>
        <v/>
      </c>
      <c r="E95" s="92" t="str">
        <f>IF('INTERACTION-PAGE'!E87="","",'INTERACTION-PAGE'!E87)</f>
        <v/>
      </c>
      <c r="F95" s="92" t="str">
        <f>IF('INTERACTION-PAGE'!F87="","",'INTERACTION-PAGE'!F87)</f>
        <v/>
      </c>
      <c r="G95" s="92" t="str">
        <f>IF('INTERACTION-PAGE'!G87="","",'INTERACTION-PAGE'!G87)</f>
        <v/>
      </c>
      <c r="H95" s="92" t="str">
        <f>IF('INTERACTION-PAGE'!H87="","",'INTERACTION-PAGE'!H87)</f>
        <v/>
      </c>
      <c r="I95" s="92" t="str">
        <f>IF('INTERACTION-PAGE'!I87="","",'INTERACTION-PAGE'!I87)</f>
        <v/>
      </c>
      <c r="J95" s="92" t="str">
        <f>IF('INTERACTION-PAGE'!J87="","",'INTERACTION-PAGE'!J87)</f>
        <v/>
      </c>
      <c r="K95" s="92" t="str">
        <f>IF('INTERACTION-PAGE'!K87="","",'INTERACTION-PAGE'!K87)</f>
        <v/>
      </c>
      <c r="L95" s="92" t="str">
        <f>IF('INTERACTION-PAGE'!L87="","",'INTERACTION-PAGE'!L87)</f>
        <v/>
      </c>
      <c r="M95" s="92" t="str">
        <f>IF('INTERACTION-PAGE'!M87="","",'INTERACTION-PAGE'!M87)</f>
        <v/>
      </c>
      <c r="N95" s="92" t="str">
        <f>IF('INTERACTION-PAGE'!N87="","",'INTERACTION-PAGE'!N87)</f>
        <v/>
      </c>
      <c r="O95" s="92" t="str">
        <f>IF('INTERACTION-PAGE'!O87="","",'INTERACTION-PAGE'!O87)</f>
        <v/>
      </c>
      <c r="P95" s="92" t="str">
        <f>IF('INTERACTION-PAGE'!P87="","",'INTERACTION-PAGE'!P87)</f>
        <v/>
      </c>
      <c r="Q95" s="92" t="str">
        <f>IF('INTERACTION-PAGE'!Q87="","",'INTERACTION-PAGE'!Q87)</f>
        <v/>
      </c>
      <c r="R95" s="92" t="str">
        <f>IF('INTERACTION-PAGE'!R87="","",'INTERACTION-PAGE'!R87)</f>
        <v/>
      </c>
      <c r="S95" s="92" t="str">
        <f>IF('INTERACTION-PAGE'!S87="","",'INTERACTION-PAGE'!S87)</f>
        <v/>
      </c>
      <c r="T95" s="92" t="str">
        <f>IF('INTERACTION-PAGE'!T87="","",'INTERACTION-PAGE'!T87)</f>
        <v/>
      </c>
      <c r="U95" s="92" t="str">
        <f>IF('INTERACTION-PAGE'!U87="","",'INTERACTION-PAGE'!U87)</f>
        <v/>
      </c>
      <c r="V95" s="92" t="str">
        <f>IF('INTERACTION-PAGE'!V87="","",'INTERACTION-PAGE'!V87)</f>
        <v/>
      </c>
      <c r="W95" s="92" t="str">
        <f>IF('INTERACTION-PAGE'!W87="","",'INTERACTION-PAGE'!W87)</f>
        <v/>
      </c>
      <c r="X95" s="92" t="str">
        <f>IF('INTERACTION-PAGE'!X87="","",'INTERACTION-PAGE'!X87)</f>
        <v/>
      </c>
      <c r="Y95" s="167" t="str">
        <f t="shared" si="6"/>
        <v/>
      </c>
      <c r="Z95" s="167" t="str">
        <f t="shared" ref="Z95:AD95" si="89">IF(OR( $B95="", $B95="AB", $B95="UR", $C95="", $C95="AB", $C95="UR", $D95="AB", $D95="UR"),"",(IF(OR(E$10&gt;0,J$10&gt;0,O$10&gt;0,T$10&gt;0),(Z$10*(IF(AND(E$10&gt;0), IF(OR(E95="", E95="AB",E95="UR"),0,E95),0) +IF(AND(J$10&gt;0), IF(OR(J95="",J95="AB",J95=""),0,J95),0)+IF(AND(O$10&gt;0), IF(OR(O95="", O95="AB",O95="UR"),0,O95),0)+IF(AND(T$10&gt;0), IF(OR(T95="",T95="AB",T95="UR"),0,T95),0))/(E$10+J$10+O$10+T$10))," ")))</f>
        <v/>
      </c>
      <c r="AA95" s="167" t="str">
        <f t="shared" si="89"/>
        <v/>
      </c>
      <c r="AB95" s="167" t="str">
        <f t="shared" si="89"/>
        <v/>
      </c>
      <c r="AC95" s="167" t="str">
        <f t="shared" si="89"/>
        <v/>
      </c>
      <c r="AD95" s="167" t="str">
        <f t="shared" si="89"/>
        <v/>
      </c>
      <c r="AE95" s="168" t="str">
        <f t="shared" si="5"/>
        <v/>
      </c>
      <c r="AF95" s="29"/>
    </row>
    <row r="96" ht="15.0" customHeight="1">
      <c r="A96" s="79">
        <v>86.0</v>
      </c>
      <c r="B96" s="92" t="str">
        <f>IF('INTERACTION-PAGE'!B88="","",'INTERACTION-PAGE'!B88)</f>
        <v/>
      </c>
      <c r="C96" s="92" t="str">
        <f>IF('INTERACTION-PAGE'!C88="","",'INTERACTION-PAGE'!C88)</f>
        <v/>
      </c>
      <c r="D96" s="92" t="str">
        <f>IF('INTERACTION-PAGE'!D88="","",'INTERACTION-PAGE'!D88)</f>
        <v/>
      </c>
      <c r="E96" s="92" t="str">
        <f>IF('INTERACTION-PAGE'!E88="","",'INTERACTION-PAGE'!E88)</f>
        <v/>
      </c>
      <c r="F96" s="92" t="str">
        <f>IF('INTERACTION-PAGE'!F88="","",'INTERACTION-PAGE'!F88)</f>
        <v/>
      </c>
      <c r="G96" s="92" t="str">
        <f>IF('INTERACTION-PAGE'!G88="","",'INTERACTION-PAGE'!G88)</f>
        <v/>
      </c>
      <c r="H96" s="92" t="str">
        <f>IF('INTERACTION-PAGE'!H88="","",'INTERACTION-PAGE'!H88)</f>
        <v/>
      </c>
      <c r="I96" s="92" t="str">
        <f>IF('INTERACTION-PAGE'!I88="","",'INTERACTION-PAGE'!I88)</f>
        <v/>
      </c>
      <c r="J96" s="92" t="str">
        <f>IF('INTERACTION-PAGE'!J88="","",'INTERACTION-PAGE'!J88)</f>
        <v/>
      </c>
      <c r="K96" s="92" t="str">
        <f>IF('INTERACTION-PAGE'!K88="","",'INTERACTION-PAGE'!K88)</f>
        <v/>
      </c>
      <c r="L96" s="92" t="str">
        <f>IF('INTERACTION-PAGE'!L88="","",'INTERACTION-PAGE'!L88)</f>
        <v/>
      </c>
      <c r="M96" s="92" t="str">
        <f>IF('INTERACTION-PAGE'!M88="","",'INTERACTION-PAGE'!M88)</f>
        <v/>
      </c>
      <c r="N96" s="92" t="str">
        <f>IF('INTERACTION-PAGE'!N88="","",'INTERACTION-PAGE'!N88)</f>
        <v/>
      </c>
      <c r="O96" s="92" t="str">
        <f>IF('INTERACTION-PAGE'!O88="","",'INTERACTION-PAGE'!O88)</f>
        <v/>
      </c>
      <c r="P96" s="92" t="str">
        <f>IF('INTERACTION-PAGE'!P88="","",'INTERACTION-PAGE'!P88)</f>
        <v/>
      </c>
      <c r="Q96" s="92" t="str">
        <f>IF('INTERACTION-PAGE'!Q88="","",'INTERACTION-PAGE'!Q88)</f>
        <v/>
      </c>
      <c r="R96" s="92" t="str">
        <f>IF('INTERACTION-PAGE'!R88="","",'INTERACTION-PAGE'!R88)</f>
        <v/>
      </c>
      <c r="S96" s="92" t="str">
        <f>IF('INTERACTION-PAGE'!S88="","",'INTERACTION-PAGE'!S88)</f>
        <v/>
      </c>
      <c r="T96" s="92" t="str">
        <f>IF('INTERACTION-PAGE'!T88="","",'INTERACTION-PAGE'!T88)</f>
        <v/>
      </c>
      <c r="U96" s="92" t="str">
        <f>IF('INTERACTION-PAGE'!U88="","",'INTERACTION-PAGE'!U88)</f>
        <v/>
      </c>
      <c r="V96" s="92" t="str">
        <f>IF('INTERACTION-PAGE'!V88="","",'INTERACTION-PAGE'!V88)</f>
        <v/>
      </c>
      <c r="W96" s="92" t="str">
        <f>IF('INTERACTION-PAGE'!W88="","",'INTERACTION-PAGE'!W88)</f>
        <v/>
      </c>
      <c r="X96" s="92" t="str">
        <f>IF('INTERACTION-PAGE'!X88="","",'INTERACTION-PAGE'!X88)</f>
        <v/>
      </c>
      <c r="Y96" s="167" t="str">
        <f t="shared" si="6"/>
        <v/>
      </c>
      <c r="Z96" s="167" t="str">
        <f t="shared" ref="Z96:AD96" si="90">IF(OR( $B96="", $B96="AB", $B96="UR", $C96="", $C96="AB", $C96="UR", $D96="AB", $D96="UR"),"",(IF(OR(E$10&gt;0,J$10&gt;0,O$10&gt;0,T$10&gt;0),(Z$10*(IF(AND(E$10&gt;0), IF(OR(E96="", E96="AB",E96="UR"),0,E96),0) +IF(AND(J$10&gt;0), IF(OR(J96="",J96="AB",J96=""),0,J96),0)+IF(AND(O$10&gt;0), IF(OR(O96="", O96="AB",O96="UR"),0,O96),0)+IF(AND(T$10&gt;0), IF(OR(T96="",T96="AB",T96="UR"),0,T96),0))/(E$10+J$10+O$10+T$10))," ")))</f>
        <v/>
      </c>
      <c r="AA96" s="167" t="str">
        <f t="shared" si="90"/>
        <v/>
      </c>
      <c r="AB96" s="167" t="str">
        <f t="shared" si="90"/>
        <v/>
      </c>
      <c r="AC96" s="167" t="str">
        <f t="shared" si="90"/>
        <v/>
      </c>
      <c r="AD96" s="167" t="str">
        <f t="shared" si="90"/>
        <v/>
      </c>
      <c r="AE96" s="168" t="str">
        <f t="shared" si="5"/>
        <v/>
      </c>
      <c r="AF96" s="29"/>
    </row>
    <row r="97" ht="15.0" customHeight="1">
      <c r="A97" s="65">
        <v>87.0</v>
      </c>
      <c r="B97" s="92" t="str">
        <f>IF('INTERACTION-PAGE'!B89="","",'INTERACTION-PAGE'!B89)</f>
        <v/>
      </c>
      <c r="C97" s="92" t="str">
        <f>IF('INTERACTION-PAGE'!C89="","",'INTERACTION-PAGE'!C89)</f>
        <v/>
      </c>
      <c r="D97" s="92" t="str">
        <f>IF('INTERACTION-PAGE'!D89="","",'INTERACTION-PAGE'!D89)</f>
        <v/>
      </c>
      <c r="E97" s="92" t="str">
        <f>IF('INTERACTION-PAGE'!E89="","",'INTERACTION-PAGE'!E89)</f>
        <v/>
      </c>
      <c r="F97" s="92" t="str">
        <f>IF('INTERACTION-PAGE'!F89="","",'INTERACTION-PAGE'!F89)</f>
        <v/>
      </c>
      <c r="G97" s="92" t="str">
        <f>IF('INTERACTION-PAGE'!G89="","",'INTERACTION-PAGE'!G89)</f>
        <v/>
      </c>
      <c r="H97" s="92" t="str">
        <f>IF('INTERACTION-PAGE'!H89="","",'INTERACTION-PAGE'!H89)</f>
        <v/>
      </c>
      <c r="I97" s="92" t="str">
        <f>IF('INTERACTION-PAGE'!I89="","",'INTERACTION-PAGE'!I89)</f>
        <v/>
      </c>
      <c r="J97" s="92" t="str">
        <f>IF('INTERACTION-PAGE'!J89="","",'INTERACTION-PAGE'!J89)</f>
        <v/>
      </c>
      <c r="K97" s="92" t="str">
        <f>IF('INTERACTION-PAGE'!K89="","",'INTERACTION-PAGE'!K89)</f>
        <v/>
      </c>
      <c r="L97" s="92" t="str">
        <f>IF('INTERACTION-PAGE'!L89="","",'INTERACTION-PAGE'!L89)</f>
        <v/>
      </c>
      <c r="M97" s="92" t="str">
        <f>IF('INTERACTION-PAGE'!M89="","",'INTERACTION-PAGE'!M89)</f>
        <v/>
      </c>
      <c r="N97" s="92" t="str">
        <f>IF('INTERACTION-PAGE'!N89="","",'INTERACTION-PAGE'!N89)</f>
        <v/>
      </c>
      <c r="O97" s="92" t="str">
        <f>IF('INTERACTION-PAGE'!O89="","",'INTERACTION-PAGE'!O89)</f>
        <v/>
      </c>
      <c r="P97" s="92" t="str">
        <f>IF('INTERACTION-PAGE'!P89="","",'INTERACTION-PAGE'!P89)</f>
        <v/>
      </c>
      <c r="Q97" s="92" t="str">
        <f>IF('INTERACTION-PAGE'!Q89="","",'INTERACTION-PAGE'!Q89)</f>
        <v/>
      </c>
      <c r="R97" s="92" t="str">
        <f>IF('INTERACTION-PAGE'!R89="","",'INTERACTION-PAGE'!R89)</f>
        <v/>
      </c>
      <c r="S97" s="92" t="str">
        <f>IF('INTERACTION-PAGE'!S89="","",'INTERACTION-PAGE'!S89)</f>
        <v/>
      </c>
      <c r="T97" s="92" t="str">
        <f>IF('INTERACTION-PAGE'!T89="","",'INTERACTION-PAGE'!T89)</f>
        <v/>
      </c>
      <c r="U97" s="92" t="str">
        <f>IF('INTERACTION-PAGE'!U89="","",'INTERACTION-PAGE'!U89)</f>
        <v/>
      </c>
      <c r="V97" s="92" t="str">
        <f>IF('INTERACTION-PAGE'!V89="","",'INTERACTION-PAGE'!V89)</f>
        <v/>
      </c>
      <c r="W97" s="92" t="str">
        <f>IF('INTERACTION-PAGE'!W89="","",'INTERACTION-PAGE'!W89)</f>
        <v/>
      </c>
      <c r="X97" s="92" t="str">
        <f>IF('INTERACTION-PAGE'!X89="","",'INTERACTION-PAGE'!X89)</f>
        <v/>
      </c>
      <c r="Y97" s="167" t="str">
        <f t="shared" si="6"/>
        <v/>
      </c>
      <c r="Z97" s="167" t="str">
        <f t="shared" ref="Z97:AD97" si="91">IF(OR( $B97="", $B97="AB", $B97="UR", $C97="", $C97="AB", $C97="UR", $D97="AB", $D97="UR"),"",(IF(OR(E$10&gt;0,J$10&gt;0,O$10&gt;0,T$10&gt;0),(Z$10*(IF(AND(E$10&gt;0), IF(OR(E97="", E97="AB",E97="UR"),0,E97),0) +IF(AND(J$10&gt;0), IF(OR(J97="",J97="AB",J97=""),0,J97),0)+IF(AND(O$10&gt;0), IF(OR(O97="", O97="AB",O97="UR"),0,O97),0)+IF(AND(T$10&gt;0), IF(OR(T97="",T97="AB",T97="UR"),0,T97),0))/(E$10+J$10+O$10+T$10))," ")))</f>
        <v/>
      </c>
      <c r="AA97" s="167" t="str">
        <f t="shared" si="91"/>
        <v/>
      </c>
      <c r="AB97" s="167" t="str">
        <f t="shared" si="91"/>
        <v/>
      </c>
      <c r="AC97" s="167" t="str">
        <f t="shared" si="91"/>
        <v/>
      </c>
      <c r="AD97" s="167" t="str">
        <f t="shared" si="91"/>
        <v/>
      </c>
      <c r="AE97" s="168" t="str">
        <f t="shared" si="5"/>
        <v/>
      </c>
      <c r="AF97" s="29"/>
    </row>
    <row r="98" ht="15.0" customHeight="1">
      <c r="A98" s="79">
        <v>88.0</v>
      </c>
      <c r="B98" s="92" t="str">
        <f>IF('INTERACTION-PAGE'!B90="","",'INTERACTION-PAGE'!B90)</f>
        <v/>
      </c>
      <c r="C98" s="92" t="str">
        <f>IF('INTERACTION-PAGE'!C90="","",'INTERACTION-PAGE'!C90)</f>
        <v/>
      </c>
      <c r="D98" s="92" t="str">
        <f>IF('INTERACTION-PAGE'!D90="","",'INTERACTION-PAGE'!D90)</f>
        <v/>
      </c>
      <c r="E98" s="92" t="str">
        <f>IF('INTERACTION-PAGE'!E90="","",'INTERACTION-PAGE'!E90)</f>
        <v/>
      </c>
      <c r="F98" s="92" t="str">
        <f>IF('INTERACTION-PAGE'!F90="","",'INTERACTION-PAGE'!F90)</f>
        <v/>
      </c>
      <c r="G98" s="92" t="str">
        <f>IF('INTERACTION-PAGE'!G90="","",'INTERACTION-PAGE'!G90)</f>
        <v/>
      </c>
      <c r="H98" s="92" t="str">
        <f>IF('INTERACTION-PAGE'!H90="","",'INTERACTION-PAGE'!H90)</f>
        <v/>
      </c>
      <c r="I98" s="92" t="str">
        <f>IF('INTERACTION-PAGE'!I90="","",'INTERACTION-PAGE'!I90)</f>
        <v/>
      </c>
      <c r="J98" s="92" t="str">
        <f>IF('INTERACTION-PAGE'!J90="","",'INTERACTION-PAGE'!J90)</f>
        <v/>
      </c>
      <c r="K98" s="92" t="str">
        <f>IF('INTERACTION-PAGE'!K90="","",'INTERACTION-PAGE'!K90)</f>
        <v/>
      </c>
      <c r="L98" s="92" t="str">
        <f>IF('INTERACTION-PAGE'!L90="","",'INTERACTION-PAGE'!L90)</f>
        <v/>
      </c>
      <c r="M98" s="92" t="str">
        <f>IF('INTERACTION-PAGE'!M90="","",'INTERACTION-PAGE'!M90)</f>
        <v/>
      </c>
      <c r="N98" s="92" t="str">
        <f>IF('INTERACTION-PAGE'!N90="","",'INTERACTION-PAGE'!N90)</f>
        <v/>
      </c>
      <c r="O98" s="92" t="str">
        <f>IF('INTERACTION-PAGE'!O90="","",'INTERACTION-PAGE'!O90)</f>
        <v/>
      </c>
      <c r="P98" s="92" t="str">
        <f>IF('INTERACTION-PAGE'!P90="","",'INTERACTION-PAGE'!P90)</f>
        <v/>
      </c>
      <c r="Q98" s="92" t="str">
        <f>IF('INTERACTION-PAGE'!Q90="","",'INTERACTION-PAGE'!Q90)</f>
        <v/>
      </c>
      <c r="R98" s="92" t="str">
        <f>IF('INTERACTION-PAGE'!R90="","",'INTERACTION-PAGE'!R90)</f>
        <v/>
      </c>
      <c r="S98" s="92" t="str">
        <f>IF('INTERACTION-PAGE'!S90="","",'INTERACTION-PAGE'!S90)</f>
        <v/>
      </c>
      <c r="T98" s="92" t="str">
        <f>IF('INTERACTION-PAGE'!T90="","",'INTERACTION-PAGE'!T90)</f>
        <v/>
      </c>
      <c r="U98" s="92" t="str">
        <f>IF('INTERACTION-PAGE'!U90="","",'INTERACTION-PAGE'!U90)</f>
        <v/>
      </c>
      <c r="V98" s="92" t="str">
        <f>IF('INTERACTION-PAGE'!V90="","",'INTERACTION-PAGE'!V90)</f>
        <v/>
      </c>
      <c r="W98" s="92" t="str">
        <f>IF('INTERACTION-PAGE'!W90="","",'INTERACTION-PAGE'!W90)</f>
        <v/>
      </c>
      <c r="X98" s="92" t="str">
        <f>IF('INTERACTION-PAGE'!X90="","",'INTERACTION-PAGE'!X90)</f>
        <v/>
      </c>
      <c r="Y98" s="167" t="str">
        <f t="shared" si="6"/>
        <v/>
      </c>
      <c r="Z98" s="167" t="str">
        <f t="shared" ref="Z98:AD98" si="92">IF(OR( $B98="", $B98="AB", $B98="UR", $C98="", $C98="AB", $C98="UR", $D98="AB", $D98="UR"),"",(IF(OR(E$10&gt;0,J$10&gt;0,O$10&gt;0,T$10&gt;0),(Z$10*(IF(AND(E$10&gt;0), IF(OR(E98="", E98="AB",E98="UR"),0,E98),0) +IF(AND(J$10&gt;0), IF(OR(J98="",J98="AB",J98=""),0,J98),0)+IF(AND(O$10&gt;0), IF(OR(O98="", O98="AB",O98="UR"),0,O98),0)+IF(AND(T$10&gt;0), IF(OR(T98="",T98="AB",T98="UR"),0,T98),0))/(E$10+J$10+O$10+T$10))," ")))</f>
        <v/>
      </c>
      <c r="AA98" s="167" t="str">
        <f t="shared" si="92"/>
        <v/>
      </c>
      <c r="AB98" s="167" t="str">
        <f t="shared" si="92"/>
        <v/>
      </c>
      <c r="AC98" s="167" t="str">
        <f t="shared" si="92"/>
        <v/>
      </c>
      <c r="AD98" s="167" t="str">
        <f t="shared" si="92"/>
        <v/>
      </c>
      <c r="AE98" s="168" t="str">
        <f t="shared" si="5"/>
        <v/>
      </c>
      <c r="AF98" s="29"/>
    </row>
    <row r="99" ht="15.0" customHeight="1">
      <c r="A99" s="65">
        <v>89.0</v>
      </c>
      <c r="B99" s="92" t="str">
        <f>IF('INTERACTION-PAGE'!B91="","",'INTERACTION-PAGE'!B91)</f>
        <v/>
      </c>
      <c r="C99" s="92" t="str">
        <f>IF('INTERACTION-PAGE'!C91="","",'INTERACTION-PAGE'!C91)</f>
        <v/>
      </c>
      <c r="D99" s="92" t="str">
        <f>IF('INTERACTION-PAGE'!D91="","",'INTERACTION-PAGE'!D91)</f>
        <v/>
      </c>
      <c r="E99" s="92" t="str">
        <f>IF('INTERACTION-PAGE'!E91="","",'INTERACTION-PAGE'!E91)</f>
        <v/>
      </c>
      <c r="F99" s="92" t="str">
        <f>IF('INTERACTION-PAGE'!F91="","",'INTERACTION-PAGE'!F91)</f>
        <v/>
      </c>
      <c r="G99" s="92" t="str">
        <f>IF('INTERACTION-PAGE'!G91="","",'INTERACTION-PAGE'!G91)</f>
        <v/>
      </c>
      <c r="H99" s="92" t="str">
        <f>IF('INTERACTION-PAGE'!H91="","",'INTERACTION-PAGE'!H91)</f>
        <v/>
      </c>
      <c r="I99" s="92" t="str">
        <f>IF('INTERACTION-PAGE'!I91="","",'INTERACTION-PAGE'!I91)</f>
        <v/>
      </c>
      <c r="J99" s="92" t="str">
        <f>IF('INTERACTION-PAGE'!J91="","",'INTERACTION-PAGE'!J91)</f>
        <v/>
      </c>
      <c r="K99" s="92" t="str">
        <f>IF('INTERACTION-PAGE'!K91="","",'INTERACTION-PAGE'!K91)</f>
        <v/>
      </c>
      <c r="L99" s="92" t="str">
        <f>IF('INTERACTION-PAGE'!L91="","",'INTERACTION-PAGE'!L91)</f>
        <v/>
      </c>
      <c r="M99" s="92" t="str">
        <f>IF('INTERACTION-PAGE'!M91="","",'INTERACTION-PAGE'!M91)</f>
        <v/>
      </c>
      <c r="N99" s="92" t="str">
        <f>IF('INTERACTION-PAGE'!N91="","",'INTERACTION-PAGE'!N91)</f>
        <v/>
      </c>
      <c r="O99" s="92" t="str">
        <f>IF('INTERACTION-PAGE'!O91="","",'INTERACTION-PAGE'!O91)</f>
        <v/>
      </c>
      <c r="P99" s="92" t="str">
        <f>IF('INTERACTION-PAGE'!P91="","",'INTERACTION-PAGE'!P91)</f>
        <v/>
      </c>
      <c r="Q99" s="92" t="str">
        <f>IF('INTERACTION-PAGE'!Q91="","",'INTERACTION-PAGE'!Q91)</f>
        <v/>
      </c>
      <c r="R99" s="92" t="str">
        <f>IF('INTERACTION-PAGE'!R91="","",'INTERACTION-PAGE'!R91)</f>
        <v/>
      </c>
      <c r="S99" s="92" t="str">
        <f>IF('INTERACTION-PAGE'!S91="","",'INTERACTION-PAGE'!S91)</f>
        <v/>
      </c>
      <c r="T99" s="92" t="str">
        <f>IF('INTERACTION-PAGE'!T91="","",'INTERACTION-PAGE'!T91)</f>
        <v/>
      </c>
      <c r="U99" s="92" t="str">
        <f>IF('INTERACTION-PAGE'!U91="","",'INTERACTION-PAGE'!U91)</f>
        <v/>
      </c>
      <c r="V99" s="92" t="str">
        <f>IF('INTERACTION-PAGE'!V91="","",'INTERACTION-PAGE'!V91)</f>
        <v/>
      </c>
      <c r="W99" s="92" t="str">
        <f>IF('INTERACTION-PAGE'!W91="","",'INTERACTION-PAGE'!W91)</f>
        <v/>
      </c>
      <c r="X99" s="92" t="str">
        <f>IF('INTERACTION-PAGE'!X91="","",'INTERACTION-PAGE'!X91)</f>
        <v/>
      </c>
      <c r="Y99" s="167" t="str">
        <f t="shared" si="6"/>
        <v/>
      </c>
      <c r="Z99" s="167" t="str">
        <f t="shared" ref="Z99:AD99" si="93">IF(OR( $B99="", $B99="AB", $B99="UR", $C99="", $C99="AB", $C99="UR", $D99="AB", $D99="UR"),"",(IF(OR(E$10&gt;0,J$10&gt;0,O$10&gt;0,T$10&gt;0),(Z$10*(IF(AND(E$10&gt;0), IF(OR(E99="", E99="AB",E99="UR"),0,E99),0) +IF(AND(J$10&gt;0), IF(OR(J99="",J99="AB",J99=""),0,J99),0)+IF(AND(O$10&gt;0), IF(OR(O99="", O99="AB",O99="UR"),0,O99),0)+IF(AND(T$10&gt;0), IF(OR(T99="",T99="AB",T99="UR"),0,T99),0))/(E$10+J$10+O$10+T$10))," ")))</f>
        <v/>
      </c>
      <c r="AA99" s="167" t="str">
        <f t="shared" si="93"/>
        <v/>
      </c>
      <c r="AB99" s="167" t="str">
        <f t="shared" si="93"/>
        <v/>
      </c>
      <c r="AC99" s="167" t="str">
        <f t="shared" si="93"/>
        <v/>
      </c>
      <c r="AD99" s="167" t="str">
        <f t="shared" si="93"/>
        <v/>
      </c>
      <c r="AE99" s="168" t="str">
        <f t="shared" si="5"/>
        <v/>
      </c>
      <c r="AF99" s="29"/>
    </row>
    <row r="100" ht="15.0" customHeight="1">
      <c r="A100" s="79">
        <v>90.0</v>
      </c>
      <c r="B100" s="92" t="str">
        <f>IF('INTERACTION-PAGE'!B92="","",'INTERACTION-PAGE'!B92)</f>
        <v/>
      </c>
      <c r="C100" s="92" t="str">
        <f>IF('INTERACTION-PAGE'!C92="","",'INTERACTION-PAGE'!C92)</f>
        <v/>
      </c>
      <c r="D100" s="92" t="str">
        <f>IF('INTERACTION-PAGE'!D92="","",'INTERACTION-PAGE'!D92)</f>
        <v/>
      </c>
      <c r="E100" s="92" t="str">
        <f>IF('INTERACTION-PAGE'!E92="","",'INTERACTION-PAGE'!E92)</f>
        <v/>
      </c>
      <c r="F100" s="92" t="str">
        <f>IF('INTERACTION-PAGE'!F92="","",'INTERACTION-PAGE'!F92)</f>
        <v/>
      </c>
      <c r="G100" s="92" t="str">
        <f>IF('INTERACTION-PAGE'!G92="","",'INTERACTION-PAGE'!G92)</f>
        <v/>
      </c>
      <c r="H100" s="92" t="str">
        <f>IF('INTERACTION-PAGE'!H92="","",'INTERACTION-PAGE'!H92)</f>
        <v/>
      </c>
      <c r="I100" s="92" t="str">
        <f>IF('INTERACTION-PAGE'!I92="","",'INTERACTION-PAGE'!I92)</f>
        <v/>
      </c>
      <c r="J100" s="92" t="str">
        <f>IF('INTERACTION-PAGE'!J92="","",'INTERACTION-PAGE'!J92)</f>
        <v/>
      </c>
      <c r="K100" s="92" t="str">
        <f>IF('INTERACTION-PAGE'!K92="","",'INTERACTION-PAGE'!K92)</f>
        <v/>
      </c>
      <c r="L100" s="92" t="str">
        <f>IF('INTERACTION-PAGE'!L92="","",'INTERACTION-PAGE'!L92)</f>
        <v/>
      </c>
      <c r="M100" s="92" t="str">
        <f>IF('INTERACTION-PAGE'!M92="","",'INTERACTION-PAGE'!M92)</f>
        <v/>
      </c>
      <c r="N100" s="92" t="str">
        <f>IF('INTERACTION-PAGE'!N92="","",'INTERACTION-PAGE'!N92)</f>
        <v/>
      </c>
      <c r="O100" s="92" t="str">
        <f>IF('INTERACTION-PAGE'!O92="","",'INTERACTION-PAGE'!O92)</f>
        <v/>
      </c>
      <c r="P100" s="92" t="str">
        <f>IF('INTERACTION-PAGE'!P92="","",'INTERACTION-PAGE'!P92)</f>
        <v/>
      </c>
      <c r="Q100" s="92" t="str">
        <f>IF('INTERACTION-PAGE'!Q92="","",'INTERACTION-PAGE'!Q92)</f>
        <v/>
      </c>
      <c r="R100" s="92" t="str">
        <f>IF('INTERACTION-PAGE'!R92="","",'INTERACTION-PAGE'!R92)</f>
        <v/>
      </c>
      <c r="S100" s="92" t="str">
        <f>IF('INTERACTION-PAGE'!S92="","",'INTERACTION-PAGE'!S92)</f>
        <v/>
      </c>
      <c r="T100" s="92" t="str">
        <f>IF('INTERACTION-PAGE'!T92="","",'INTERACTION-PAGE'!T92)</f>
        <v/>
      </c>
      <c r="U100" s="92" t="str">
        <f>IF('INTERACTION-PAGE'!U92="","",'INTERACTION-PAGE'!U92)</f>
        <v/>
      </c>
      <c r="V100" s="92" t="str">
        <f>IF('INTERACTION-PAGE'!V92="","",'INTERACTION-PAGE'!V92)</f>
        <v/>
      </c>
      <c r="W100" s="92" t="str">
        <f>IF('INTERACTION-PAGE'!W92="","",'INTERACTION-PAGE'!W92)</f>
        <v/>
      </c>
      <c r="X100" s="92" t="str">
        <f>IF('INTERACTION-PAGE'!X92="","",'INTERACTION-PAGE'!X92)</f>
        <v/>
      </c>
      <c r="Y100" s="167" t="str">
        <f t="shared" si="6"/>
        <v/>
      </c>
      <c r="Z100" s="167" t="str">
        <f t="shared" ref="Z100:AD100" si="94">IF(OR( $B100="", $B100="AB", $B100="UR", $C100="", $C100="AB", $C100="UR", $D100="AB", $D100="UR"),"",(IF(OR(E$10&gt;0,J$10&gt;0,O$10&gt;0,T$10&gt;0),(Z$10*(IF(AND(E$10&gt;0), IF(OR(E100="", E100="AB",E100="UR"),0,E100),0) +IF(AND(J$10&gt;0), IF(OR(J100="",J100="AB",J100=""),0,J100),0)+IF(AND(O$10&gt;0), IF(OR(O100="", O100="AB",O100="UR"),0,O100),0)+IF(AND(T$10&gt;0), IF(OR(T100="",T100="AB",T100="UR"),0,T100),0))/(E$10+J$10+O$10+T$10))," ")))</f>
        <v/>
      </c>
      <c r="AA100" s="167" t="str">
        <f t="shared" si="94"/>
        <v/>
      </c>
      <c r="AB100" s="167" t="str">
        <f t="shared" si="94"/>
        <v/>
      </c>
      <c r="AC100" s="167" t="str">
        <f t="shared" si="94"/>
        <v/>
      </c>
      <c r="AD100" s="167" t="str">
        <f t="shared" si="94"/>
        <v/>
      </c>
      <c r="AE100" s="168" t="str">
        <f t="shared" si="5"/>
        <v/>
      </c>
      <c r="AF100" s="29"/>
    </row>
    <row r="101" ht="15.0" customHeight="1">
      <c r="A101" s="65">
        <v>91.0</v>
      </c>
      <c r="B101" s="92" t="str">
        <f>IF('INTERACTION-PAGE'!B93="","",'INTERACTION-PAGE'!B93)</f>
        <v/>
      </c>
      <c r="C101" s="92" t="str">
        <f>IF('INTERACTION-PAGE'!C93="","",'INTERACTION-PAGE'!C93)</f>
        <v/>
      </c>
      <c r="D101" s="92" t="str">
        <f>IF('INTERACTION-PAGE'!D93="","",'INTERACTION-PAGE'!D93)</f>
        <v/>
      </c>
      <c r="E101" s="92" t="str">
        <f>IF('INTERACTION-PAGE'!E93="","",'INTERACTION-PAGE'!E93)</f>
        <v/>
      </c>
      <c r="F101" s="92" t="str">
        <f>IF('INTERACTION-PAGE'!F93="","",'INTERACTION-PAGE'!F93)</f>
        <v/>
      </c>
      <c r="G101" s="92" t="str">
        <f>IF('INTERACTION-PAGE'!G93="","",'INTERACTION-PAGE'!G93)</f>
        <v/>
      </c>
      <c r="H101" s="92" t="str">
        <f>IF('INTERACTION-PAGE'!H93="","",'INTERACTION-PAGE'!H93)</f>
        <v/>
      </c>
      <c r="I101" s="92" t="str">
        <f>IF('INTERACTION-PAGE'!I93="","",'INTERACTION-PAGE'!I93)</f>
        <v/>
      </c>
      <c r="J101" s="92" t="str">
        <f>IF('INTERACTION-PAGE'!J93="","",'INTERACTION-PAGE'!J93)</f>
        <v/>
      </c>
      <c r="K101" s="92" t="str">
        <f>IF('INTERACTION-PAGE'!K93="","",'INTERACTION-PAGE'!K93)</f>
        <v/>
      </c>
      <c r="L101" s="92" t="str">
        <f>IF('INTERACTION-PAGE'!L93="","",'INTERACTION-PAGE'!L93)</f>
        <v/>
      </c>
      <c r="M101" s="92" t="str">
        <f>IF('INTERACTION-PAGE'!M93="","",'INTERACTION-PAGE'!M93)</f>
        <v/>
      </c>
      <c r="N101" s="92" t="str">
        <f>IF('INTERACTION-PAGE'!N93="","",'INTERACTION-PAGE'!N93)</f>
        <v/>
      </c>
      <c r="O101" s="92" t="str">
        <f>IF('INTERACTION-PAGE'!O93="","",'INTERACTION-PAGE'!O93)</f>
        <v/>
      </c>
      <c r="P101" s="92" t="str">
        <f>IF('INTERACTION-PAGE'!P93="","",'INTERACTION-PAGE'!P93)</f>
        <v/>
      </c>
      <c r="Q101" s="92" t="str">
        <f>IF('INTERACTION-PAGE'!Q93="","",'INTERACTION-PAGE'!Q93)</f>
        <v/>
      </c>
      <c r="R101" s="92" t="str">
        <f>IF('INTERACTION-PAGE'!R93="","",'INTERACTION-PAGE'!R93)</f>
        <v/>
      </c>
      <c r="S101" s="92" t="str">
        <f>IF('INTERACTION-PAGE'!S93="","",'INTERACTION-PAGE'!S93)</f>
        <v/>
      </c>
      <c r="T101" s="92" t="str">
        <f>IF('INTERACTION-PAGE'!T93="","",'INTERACTION-PAGE'!T93)</f>
        <v/>
      </c>
      <c r="U101" s="92" t="str">
        <f>IF('INTERACTION-PAGE'!U93="","",'INTERACTION-PAGE'!U93)</f>
        <v/>
      </c>
      <c r="V101" s="92" t="str">
        <f>IF('INTERACTION-PAGE'!V93="","",'INTERACTION-PAGE'!V93)</f>
        <v/>
      </c>
      <c r="W101" s="92" t="str">
        <f>IF('INTERACTION-PAGE'!W93="","",'INTERACTION-PAGE'!W93)</f>
        <v/>
      </c>
      <c r="X101" s="92" t="str">
        <f>IF('INTERACTION-PAGE'!X93="","",'INTERACTION-PAGE'!X93)</f>
        <v/>
      </c>
      <c r="Y101" s="167" t="str">
        <f t="shared" si="6"/>
        <v/>
      </c>
      <c r="Z101" s="167" t="str">
        <f t="shared" ref="Z101:AD101" si="95">IF(OR( $B101="", $B101="AB", $B101="UR", $C101="", $C101="AB", $C101="UR", $D101="AB", $D101="UR"),"",(IF(OR(E$10&gt;0,J$10&gt;0,O$10&gt;0,T$10&gt;0),(Z$10*(IF(AND(E$10&gt;0), IF(OR(E101="", E101="AB",E101="UR"),0,E101),0) +IF(AND(J$10&gt;0), IF(OR(J101="",J101="AB",J101=""),0,J101),0)+IF(AND(O$10&gt;0), IF(OR(O101="", O101="AB",O101="UR"),0,O101),0)+IF(AND(T$10&gt;0), IF(OR(T101="",T101="AB",T101="UR"),0,T101),0))/(E$10+J$10+O$10+T$10))," ")))</f>
        <v/>
      </c>
      <c r="AA101" s="167" t="str">
        <f t="shared" si="95"/>
        <v/>
      </c>
      <c r="AB101" s="167" t="str">
        <f t="shared" si="95"/>
        <v/>
      </c>
      <c r="AC101" s="167" t="str">
        <f t="shared" si="95"/>
        <v/>
      </c>
      <c r="AD101" s="167" t="str">
        <f t="shared" si="95"/>
        <v/>
      </c>
      <c r="AE101" s="168" t="str">
        <f t="shared" si="5"/>
        <v/>
      </c>
      <c r="AF101" s="29"/>
    </row>
    <row r="102" ht="15.0" customHeight="1">
      <c r="A102" s="79">
        <v>92.0</v>
      </c>
      <c r="B102" s="92" t="str">
        <f>IF('INTERACTION-PAGE'!B94="","",'INTERACTION-PAGE'!B94)</f>
        <v/>
      </c>
      <c r="C102" s="92" t="str">
        <f>IF('INTERACTION-PAGE'!C94="","",'INTERACTION-PAGE'!C94)</f>
        <v/>
      </c>
      <c r="D102" s="92" t="str">
        <f>IF('INTERACTION-PAGE'!D94="","",'INTERACTION-PAGE'!D94)</f>
        <v/>
      </c>
      <c r="E102" s="92" t="str">
        <f>IF('INTERACTION-PAGE'!E94="","",'INTERACTION-PAGE'!E94)</f>
        <v/>
      </c>
      <c r="F102" s="92" t="str">
        <f>IF('INTERACTION-PAGE'!F94="","",'INTERACTION-PAGE'!F94)</f>
        <v/>
      </c>
      <c r="G102" s="92" t="str">
        <f>IF('INTERACTION-PAGE'!G94="","",'INTERACTION-PAGE'!G94)</f>
        <v/>
      </c>
      <c r="H102" s="92" t="str">
        <f>IF('INTERACTION-PAGE'!H94="","",'INTERACTION-PAGE'!H94)</f>
        <v/>
      </c>
      <c r="I102" s="92" t="str">
        <f>IF('INTERACTION-PAGE'!I94="","",'INTERACTION-PAGE'!I94)</f>
        <v/>
      </c>
      <c r="J102" s="92" t="str">
        <f>IF('INTERACTION-PAGE'!J94="","",'INTERACTION-PAGE'!J94)</f>
        <v/>
      </c>
      <c r="K102" s="92" t="str">
        <f>IF('INTERACTION-PAGE'!K94="","",'INTERACTION-PAGE'!K94)</f>
        <v/>
      </c>
      <c r="L102" s="92" t="str">
        <f>IF('INTERACTION-PAGE'!L94="","",'INTERACTION-PAGE'!L94)</f>
        <v/>
      </c>
      <c r="M102" s="92" t="str">
        <f>IF('INTERACTION-PAGE'!M94="","",'INTERACTION-PAGE'!M94)</f>
        <v/>
      </c>
      <c r="N102" s="92" t="str">
        <f>IF('INTERACTION-PAGE'!N94="","",'INTERACTION-PAGE'!N94)</f>
        <v/>
      </c>
      <c r="O102" s="92" t="str">
        <f>IF('INTERACTION-PAGE'!O94="","",'INTERACTION-PAGE'!O94)</f>
        <v/>
      </c>
      <c r="P102" s="92" t="str">
        <f>IF('INTERACTION-PAGE'!P94="","",'INTERACTION-PAGE'!P94)</f>
        <v/>
      </c>
      <c r="Q102" s="92" t="str">
        <f>IF('INTERACTION-PAGE'!Q94="","",'INTERACTION-PAGE'!Q94)</f>
        <v/>
      </c>
      <c r="R102" s="92" t="str">
        <f>IF('INTERACTION-PAGE'!R94="","",'INTERACTION-PAGE'!R94)</f>
        <v/>
      </c>
      <c r="S102" s="92" t="str">
        <f>IF('INTERACTION-PAGE'!S94="","",'INTERACTION-PAGE'!S94)</f>
        <v/>
      </c>
      <c r="T102" s="92" t="str">
        <f>IF('INTERACTION-PAGE'!T94="","",'INTERACTION-PAGE'!T94)</f>
        <v/>
      </c>
      <c r="U102" s="92" t="str">
        <f>IF('INTERACTION-PAGE'!U94="","",'INTERACTION-PAGE'!U94)</f>
        <v/>
      </c>
      <c r="V102" s="92" t="str">
        <f>IF('INTERACTION-PAGE'!V94="","",'INTERACTION-PAGE'!V94)</f>
        <v/>
      </c>
      <c r="W102" s="92" t="str">
        <f>IF('INTERACTION-PAGE'!W94="","",'INTERACTION-PAGE'!W94)</f>
        <v/>
      </c>
      <c r="X102" s="92" t="str">
        <f>IF('INTERACTION-PAGE'!X94="","",'INTERACTION-PAGE'!X94)</f>
        <v/>
      </c>
      <c r="Y102" s="167" t="str">
        <f t="shared" si="6"/>
        <v/>
      </c>
      <c r="Z102" s="167" t="str">
        <f t="shared" ref="Z102:AD102" si="96">IF(OR( $B102="", $B102="AB", $B102="UR", $C102="", $C102="AB", $C102="UR", $D102="AB", $D102="UR"),"",(IF(OR(E$10&gt;0,J$10&gt;0,O$10&gt;0,T$10&gt;0),(Z$10*(IF(AND(E$10&gt;0), IF(OR(E102="", E102="AB",E102="UR"),0,E102),0) +IF(AND(J$10&gt;0), IF(OR(J102="",J102="AB",J102=""),0,J102),0)+IF(AND(O$10&gt;0), IF(OR(O102="", O102="AB",O102="UR"),0,O102),0)+IF(AND(T$10&gt;0), IF(OR(T102="",T102="AB",T102="UR"),0,T102),0))/(E$10+J$10+O$10+T$10))," ")))</f>
        <v/>
      </c>
      <c r="AA102" s="167" t="str">
        <f t="shared" si="96"/>
        <v/>
      </c>
      <c r="AB102" s="167" t="str">
        <f t="shared" si="96"/>
        <v/>
      </c>
      <c r="AC102" s="167" t="str">
        <f t="shared" si="96"/>
        <v/>
      </c>
      <c r="AD102" s="167" t="str">
        <f t="shared" si="96"/>
        <v/>
      </c>
      <c r="AE102" s="168" t="str">
        <f t="shared" si="5"/>
        <v/>
      </c>
      <c r="AF102" s="29"/>
    </row>
    <row r="103" ht="15.0" customHeight="1">
      <c r="A103" s="65">
        <v>93.0</v>
      </c>
      <c r="B103" s="92" t="str">
        <f>IF('INTERACTION-PAGE'!B95="","",'INTERACTION-PAGE'!B95)</f>
        <v/>
      </c>
      <c r="C103" s="92" t="str">
        <f>IF('INTERACTION-PAGE'!C95="","",'INTERACTION-PAGE'!C95)</f>
        <v/>
      </c>
      <c r="D103" s="92" t="str">
        <f>IF('INTERACTION-PAGE'!D95="","",'INTERACTION-PAGE'!D95)</f>
        <v/>
      </c>
      <c r="E103" s="92" t="str">
        <f>IF('INTERACTION-PAGE'!E95="","",'INTERACTION-PAGE'!E95)</f>
        <v/>
      </c>
      <c r="F103" s="92" t="str">
        <f>IF('INTERACTION-PAGE'!F95="","",'INTERACTION-PAGE'!F95)</f>
        <v/>
      </c>
      <c r="G103" s="92" t="str">
        <f>IF('INTERACTION-PAGE'!G95="","",'INTERACTION-PAGE'!G95)</f>
        <v/>
      </c>
      <c r="H103" s="92" t="str">
        <f>IF('INTERACTION-PAGE'!H95="","",'INTERACTION-PAGE'!H95)</f>
        <v/>
      </c>
      <c r="I103" s="92" t="str">
        <f>IF('INTERACTION-PAGE'!I95="","",'INTERACTION-PAGE'!I95)</f>
        <v/>
      </c>
      <c r="J103" s="92" t="str">
        <f>IF('INTERACTION-PAGE'!J95="","",'INTERACTION-PAGE'!J95)</f>
        <v/>
      </c>
      <c r="K103" s="92" t="str">
        <f>IF('INTERACTION-PAGE'!K95="","",'INTERACTION-PAGE'!K95)</f>
        <v/>
      </c>
      <c r="L103" s="92" t="str">
        <f>IF('INTERACTION-PAGE'!L95="","",'INTERACTION-PAGE'!L95)</f>
        <v/>
      </c>
      <c r="M103" s="92" t="str">
        <f>IF('INTERACTION-PAGE'!M95="","",'INTERACTION-PAGE'!M95)</f>
        <v/>
      </c>
      <c r="N103" s="92" t="str">
        <f>IF('INTERACTION-PAGE'!N95="","",'INTERACTION-PAGE'!N95)</f>
        <v/>
      </c>
      <c r="O103" s="92" t="str">
        <f>IF('INTERACTION-PAGE'!O95="","",'INTERACTION-PAGE'!O95)</f>
        <v/>
      </c>
      <c r="P103" s="92" t="str">
        <f>IF('INTERACTION-PAGE'!P95="","",'INTERACTION-PAGE'!P95)</f>
        <v/>
      </c>
      <c r="Q103" s="92" t="str">
        <f>IF('INTERACTION-PAGE'!Q95="","",'INTERACTION-PAGE'!Q95)</f>
        <v/>
      </c>
      <c r="R103" s="92" t="str">
        <f>IF('INTERACTION-PAGE'!R95="","",'INTERACTION-PAGE'!R95)</f>
        <v/>
      </c>
      <c r="S103" s="92" t="str">
        <f>IF('INTERACTION-PAGE'!S95="","",'INTERACTION-PAGE'!S95)</f>
        <v/>
      </c>
      <c r="T103" s="92" t="str">
        <f>IF('INTERACTION-PAGE'!T95="","",'INTERACTION-PAGE'!T95)</f>
        <v/>
      </c>
      <c r="U103" s="92" t="str">
        <f>IF('INTERACTION-PAGE'!U95="","",'INTERACTION-PAGE'!U95)</f>
        <v/>
      </c>
      <c r="V103" s="92" t="str">
        <f>IF('INTERACTION-PAGE'!V95="","",'INTERACTION-PAGE'!V95)</f>
        <v/>
      </c>
      <c r="W103" s="92" t="str">
        <f>IF('INTERACTION-PAGE'!W95="","",'INTERACTION-PAGE'!W95)</f>
        <v/>
      </c>
      <c r="X103" s="92" t="str">
        <f>IF('INTERACTION-PAGE'!X95="","",'INTERACTION-PAGE'!X95)</f>
        <v/>
      </c>
      <c r="Y103" s="167" t="str">
        <f t="shared" si="6"/>
        <v/>
      </c>
      <c r="Z103" s="167" t="str">
        <f t="shared" ref="Z103:AD103" si="97">IF(OR( $B103="", $B103="AB", $B103="UR", $C103="", $C103="AB", $C103="UR", $D103="AB", $D103="UR"),"",(IF(OR(E$10&gt;0,J$10&gt;0,O$10&gt;0,T$10&gt;0),(Z$10*(IF(AND(E$10&gt;0), IF(OR(E103="", E103="AB",E103="UR"),0,E103),0) +IF(AND(J$10&gt;0), IF(OR(J103="",J103="AB",J103=""),0,J103),0)+IF(AND(O$10&gt;0), IF(OR(O103="", O103="AB",O103="UR"),0,O103),0)+IF(AND(T$10&gt;0), IF(OR(T103="",T103="AB",T103="UR"),0,T103),0))/(E$10+J$10+O$10+T$10))," ")))</f>
        <v/>
      </c>
      <c r="AA103" s="167" t="str">
        <f t="shared" si="97"/>
        <v/>
      </c>
      <c r="AB103" s="167" t="str">
        <f t="shared" si="97"/>
        <v/>
      </c>
      <c r="AC103" s="167" t="str">
        <f t="shared" si="97"/>
        <v/>
      </c>
      <c r="AD103" s="167" t="str">
        <f t="shared" si="97"/>
        <v/>
      </c>
      <c r="AE103" s="168" t="str">
        <f t="shared" si="5"/>
        <v/>
      </c>
      <c r="AF103" s="29"/>
    </row>
    <row r="104" ht="15.0" customHeight="1">
      <c r="A104" s="79">
        <v>94.0</v>
      </c>
      <c r="B104" s="92" t="str">
        <f>IF('INTERACTION-PAGE'!B96="","",'INTERACTION-PAGE'!B96)</f>
        <v/>
      </c>
      <c r="C104" s="92" t="str">
        <f>IF('INTERACTION-PAGE'!C96="","",'INTERACTION-PAGE'!C96)</f>
        <v/>
      </c>
      <c r="D104" s="92" t="str">
        <f>IF('INTERACTION-PAGE'!D96="","",'INTERACTION-PAGE'!D96)</f>
        <v/>
      </c>
      <c r="E104" s="92" t="str">
        <f>IF('INTERACTION-PAGE'!E96="","",'INTERACTION-PAGE'!E96)</f>
        <v/>
      </c>
      <c r="F104" s="92" t="str">
        <f>IF('INTERACTION-PAGE'!F96="","",'INTERACTION-PAGE'!F96)</f>
        <v/>
      </c>
      <c r="G104" s="92" t="str">
        <f>IF('INTERACTION-PAGE'!G96="","",'INTERACTION-PAGE'!G96)</f>
        <v/>
      </c>
      <c r="H104" s="92" t="str">
        <f>IF('INTERACTION-PAGE'!H96="","",'INTERACTION-PAGE'!H96)</f>
        <v/>
      </c>
      <c r="I104" s="92" t="str">
        <f>IF('INTERACTION-PAGE'!I96="","",'INTERACTION-PAGE'!I96)</f>
        <v/>
      </c>
      <c r="J104" s="92" t="str">
        <f>IF('INTERACTION-PAGE'!J96="","",'INTERACTION-PAGE'!J96)</f>
        <v/>
      </c>
      <c r="K104" s="92" t="str">
        <f>IF('INTERACTION-PAGE'!K96="","",'INTERACTION-PAGE'!K96)</f>
        <v/>
      </c>
      <c r="L104" s="92" t="str">
        <f>IF('INTERACTION-PAGE'!L96="","",'INTERACTION-PAGE'!L96)</f>
        <v/>
      </c>
      <c r="M104" s="92" t="str">
        <f>IF('INTERACTION-PAGE'!M96="","",'INTERACTION-PAGE'!M96)</f>
        <v/>
      </c>
      <c r="N104" s="92" t="str">
        <f>IF('INTERACTION-PAGE'!N96="","",'INTERACTION-PAGE'!N96)</f>
        <v/>
      </c>
      <c r="O104" s="92" t="str">
        <f>IF('INTERACTION-PAGE'!O96="","",'INTERACTION-PAGE'!O96)</f>
        <v/>
      </c>
      <c r="P104" s="92" t="str">
        <f>IF('INTERACTION-PAGE'!P96="","",'INTERACTION-PAGE'!P96)</f>
        <v/>
      </c>
      <c r="Q104" s="92" t="str">
        <f>IF('INTERACTION-PAGE'!Q96="","",'INTERACTION-PAGE'!Q96)</f>
        <v/>
      </c>
      <c r="R104" s="92" t="str">
        <f>IF('INTERACTION-PAGE'!R96="","",'INTERACTION-PAGE'!R96)</f>
        <v/>
      </c>
      <c r="S104" s="92" t="str">
        <f>IF('INTERACTION-PAGE'!S96="","",'INTERACTION-PAGE'!S96)</f>
        <v/>
      </c>
      <c r="T104" s="92" t="str">
        <f>IF('INTERACTION-PAGE'!T96="","",'INTERACTION-PAGE'!T96)</f>
        <v/>
      </c>
      <c r="U104" s="92" t="str">
        <f>IF('INTERACTION-PAGE'!U96="","",'INTERACTION-PAGE'!U96)</f>
        <v/>
      </c>
      <c r="V104" s="92" t="str">
        <f>IF('INTERACTION-PAGE'!V96="","",'INTERACTION-PAGE'!V96)</f>
        <v/>
      </c>
      <c r="W104" s="92" t="str">
        <f>IF('INTERACTION-PAGE'!W96="","",'INTERACTION-PAGE'!W96)</f>
        <v/>
      </c>
      <c r="X104" s="92" t="str">
        <f>IF('INTERACTION-PAGE'!X96="","",'INTERACTION-PAGE'!X96)</f>
        <v/>
      </c>
      <c r="Y104" s="167" t="str">
        <f t="shared" si="6"/>
        <v/>
      </c>
      <c r="Z104" s="167" t="str">
        <f t="shared" ref="Z104:AD104" si="98">IF(OR( $B104="", $B104="AB", $B104="UR", $C104="", $C104="AB", $C104="UR", $D104="AB", $D104="UR"),"",(IF(OR(E$10&gt;0,J$10&gt;0,O$10&gt;0,T$10&gt;0),(Z$10*(IF(AND(E$10&gt;0), IF(OR(E104="", E104="AB",E104="UR"),0,E104),0) +IF(AND(J$10&gt;0), IF(OR(J104="",J104="AB",J104=""),0,J104),0)+IF(AND(O$10&gt;0), IF(OR(O104="", O104="AB",O104="UR"),0,O104),0)+IF(AND(T$10&gt;0), IF(OR(T104="",T104="AB",T104="UR"),0,T104),0))/(E$10+J$10+O$10+T$10))," ")))</f>
        <v/>
      </c>
      <c r="AA104" s="167" t="str">
        <f t="shared" si="98"/>
        <v/>
      </c>
      <c r="AB104" s="167" t="str">
        <f t="shared" si="98"/>
        <v/>
      </c>
      <c r="AC104" s="167" t="str">
        <f t="shared" si="98"/>
        <v/>
      </c>
      <c r="AD104" s="167" t="str">
        <f t="shared" si="98"/>
        <v/>
      </c>
      <c r="AE104" s="168" t="str">
        <f t="shared" si="5"/>
        <v/>
      </c>
      <c r="AF104" s="29"/>
    </row>
    <row r="105" ht="15.0" customHeight="1">
      <c r="A105" s="65">
        <v>95.0</v>
      </c>
      <c r="B105" s="92" t="str">
        <f>IF('INTERACTION-PAGE'!B97="","",'INTERACTION-PAGE'!B97)</f>
        <v/>
      </c>
      <c r="C105" s="92" t="str">
        <f>IF('INTERACTION-PAGE'!C97="","",'INTERACTION-PAGE'!C97)</f>
        <v/>
      </c>
      <c r="D105" s="92" t="str">
        <f>IF('INTERACTION-PAGE'!D97="","",'INTERACTION-PAGE'!D97)</f>
        <v/>
      </c>
      <c r="E105" s="92" t="str">
        <f>IF('INTERACTION-PAGE'!E97="","",'INTERACTION-PAGE'!E97)</f>
        <v/>
      </c>
      <c r="F105" s="92" t="str">
        <f>IF('INTERACTION-PAGE'!F97="","",'INTERACTION-PAGE'!F97)</f>
        <v/>
      </c>
      <c r="G105" s="92" t="str">
        <f>IF('INTERACTION-PAGE'!G97="","",'INTERACTION-PAGE'!G97)</f>
        <v/>
      </c>
      <c r="H105" s="92" t="str">
        <f>IF('INTERACTION-PAGE'!H97="","",'INTERACTION-PAGE'!H97)</f>
        <v/>
      </c>
      <c r="I105" s="92" t="str">
        <f>IF('INTERACTION-PAGE'!I97="","",'INTERACTION-PAGE'!I97)</f>
        <v/>
      </c>
      <c r="J105" s="92" t="str">
        <f>IF('INTERACTION-PAGE'!J97="","",'INTERACTION-PAGE'!J97)</f>
        <v/>
      </c>
      <c r="K105" s="92" t="str">
        <f>IF('INTERACTION-PAGE'!K97="","",'INTERACTION-PAGE'!K97)</f>
        <v/>
      </c>
      <c r="L105" s="92" t="str">
        <f>IF('INTERACTION-PAGE'!L97="","",'INTERACTION-PAGE'!L97)</f>
        <v/>
      </c>
      <c r="M105" s="92" t="str">
        <f>IF('INTERACTION-PAGE'!M97="","",'INTERACTION-PAGE'!M97)</f>
        <v/>
      </c>
      <c r="N105" s="92" t="str">
        <f>IF('INTERACTION-PAGE'!N97="","",'INTERACTION-PAGE'!N97)</f>
        <v/>
      </c>
      <c r="O105" s="92" t="str">
        <f>IF('INTERACTION-PAGE'!O97="","",'INTERACTION-PAGE'!O97)</f>
        <v/>
      </c>
      <c r="P105" s="92" t="str">
        <f>IF('INTERACTION-PAGE'!P97="","",'INTERACTION-PAGE'!P97)</f>
        <v/>
      </c>
      <c r="Q105" s="92" t="str">
        <f>IF('INTERACTION-PAGE'!Q97="","",'INTERACTION-PAGE'!Q97)</f>
        <v/>
      </c>
      <c r="R105" s="92" t="str">
        <f>IF('INTERACTION-PAGE'!R97="","",'INTERACTION-PAGE'!R97)</f>
        <v/>
      </c>
      <c r="S105" s="92" t="str">
        <f>IF('INTERACTION-PAGE'!S97="","",'INTERACTION-PAGE'!S97)</f>
        <v/>
      </c>
      <c r="T105" s="92" t="str">
        <f>IF('INTERACTION-PAGE'!T97="","",'INTERACTION-PAGE'!T97)</f>
        <v/>
      </c>
      <c r="U105" s="92" t="str">
        <f>IF('INTERACTION-PAGE'!U97="","",'INTERACTION-PAGE'!U97)</f>
        <v/>
      </c>
      <c r="V105" s="92" t="str">
        <f>IF('INTERACTION-PAGE'!V97="","",'INTERACTION-PAGE'!V97)</f>
        <v/>
      </c>
      <c r="W105" s="92" t="str">
        <f>IF('INTERACTION-PAGE'!W97="","",'INTERACTION-PAGE'!W97)</f>
        <v/>
      </c>
      <c r="X105" s="92" t="str">
        <f>IF('INTERACTION-PAGE'!X97="","",'INTERACTION-PAGE'!X97)</f>
        <v/>
      </c>
      <c r="Y105" s="167" t="str">
        <f t="shared" si="6"/>
        <v/>
      </c>
      <c r="Z105" s="167" t="str">
        <f t="shared" ref="Z105:AD105" si="99">IF(OR( $B105="", $B105="AB", $B105="UR", $C105="", $C105="AB", $C105="UR", $D105="AB", $D105="UR"),"",(IF(OR(E$10&gt;0,J$10&gt;0,O$10&gt;0,T$10&gt;0),(Z$10*(IF(AND(E$10&gt;0), IF(OR(E105="", E105="AB",E105="UR"),0,E105),0) +IF(AND(J$10&gt;0), IF(OR(J105="",J105="AB",J105=""),0,J105),0)+IF(AND(O$10&gt;0), IF(OR(O105="", O105="AB",O105="UR"),0,O105),0)+IF(AND(T$10&gt;0), IF(OR(T105="",T105="AB",T105="UR"),0,T105),0))/(E$10+J$10+O$10+T$10))," ")))</f>
        <v/>
      </c>
      <c r="AA105" s="167" t="str">
        <f t="shared" si="99"/>
        <v/>
      </c>
      <c r="AB105" s="167" t="str">
        <f t="shared" si="99"/>
        <v/>
      </c>
      <c r="AC105" s="167" t="str">
        <f t="shared" si="99"/>
        <v/>
      </c>
      <c r="AD105" s="167" t="str">
        <f t="shared" si="99"/>
        <v/>
      </c>
      <c r="AE105" s="168" t="str">
        <f t="shared" si="5"/>
        <v/>
      </c>
      <c r="AF105" s="29"/>
    </row>
    <row r="106" ht="15.0" customHeight="1">
      <c r="A106" s="79">
        <v>96.0</v>
      </c>
      <c r="B106" s="92" t="str">
        <f>IF('INTERACTION-PAGE'!B98="","",'INTERACTION-PAGE'!B98)</f>
        <v/>
      </c>
      <c r="C106" s="92" t="str">
        <f>IF('INTERACTION-PAGE'!C98="","",'INTERACTION-PAGE'!C98)</f>
        <v/>
      </c>
      <c r="D106" s="92" t="str">
        <f>IF('INTERACTION-PAGE'!D98="","",'INTERACTION-PAGE'!D98)</f>
        <v/>
      </c>
      <c r="E106" s="92" t="str">
        <f>IF('INTERACTION-PAGE'!E98="","",'INTERACTION-PAGE'!E98)</f>
        <v/>
      </c>
      <c r="F106" s="92" t="str">
        <f>IF('INTERACTION-PAGE'!F98="","",'INTERACTION-PAGE'!F98)</f>
        <v/>
      </c>
      <c r="G106" s="92" t="str">
        <f>IF('INTERACTION-PAGE'!G98="","",'INTERACTION-PAGE'!G98)</f>
        <v/>
      </c>
      <c r="H106" s="92" t="str">
        <f>IF('INTERACTION-PAGE'!H98="","",'INTERACTION-PAGE'!H98)</f>
        <v/>
      </c>
      <c r="I106" s="92" t="str">
        <f>IF('INTERACTION-PAGE'!I98="","",'INTERACTION-PAGE'!I98)</f>
        <v/>
      </c>
      <c r="J106" s="92" t="str">
        <f>IF('INTERACTION-PAGE'!J98="","",'INTERACTION-PAGE'!J98)</f>
        <v/>
      </c>
      <c r="K106" s="92" t="str">
        <f>IF('INTERACTION-PAGE'!K98="","",'INTERACTION-PAGE'!K98)</f>
        <v/>
      </c>
      <c r="L106" s="92" t="str">
        <f>IF('INTERACTION-PAGE'!L98="","",'INTERACTION-PAGE'!L98)</f>
        <v/>
      </c>
      <c r="M106" s="92" t="str">
        <f>IF('INTERACTION-PAGE'!M98="","",'INTERACTION-PAGE'!M98)</f>
        <v/>
      </c>
      <c r="N106" s="92" t="str">
        <f>IF('INTERACTION-PAGE'!N98="","",'INTERACTION-PAGE'!N98)</f>
        <v/>
      </c>
      <c r="O106" s="92" t="str">
        <f>IF('INTERACTION-PAGE'!O98="","",'INTERACTION-PAGE'!O98)</f>
        <v/>
      </c>
      <c r="P106" s="92" t="str">
        <f>IF('INTERACTION-PAGE'!P98="","",'INTERACTION-PAGE'!P98)</f>
        <v/>
      </c>
      <c r="Q106" s="92" t="str">
        <f>IF('INTERACTION-PAGE'!Q98="","",'INTERACTION-PAGE'!Q98)</f>
        <v/>
      </c>
      <c r="R106" s="92" t="str">
        <f>IF('INTERACTION-PAGE'!R98="","",'INTERACTION-PAGE'!R98)</f>
        <v/>
      </c>
      <c r="S106" s="92" t="str">
        <f>IF('INTERACTION-PAGE'!S98="","",'INTERACTION-PAGE'!S98)</f>
        <v/>
      </c>
      <c r="T106" s="92" t="str">
        <f>IF('INTERACTION-PAGE'!T98="","",'INTERACTION-PAGE'!T98)</f>
        <v/>
      </c>
      <c r="U106" s="92" t="str">
        <f>IF('INTERACTION-PAGE'!U98="","",'INTERACTION-PAGE'!U98)</f>
        <v/>
      </c>
      <c r="V106" s="92" t="str">
        <f>IF('INTERACTION-PAGE'!V98="","",'INTERACTION-PAGE'!V98)</f>
        <v/>
      </c>
      <c r="W106" s="92" t="str">
        <f>IF('INTERACTION-PAGE'!W98="","",'INTERACTION-PAGE'!W98)</f>
        <v/>
      </c>
      <c r="X106" s="92" t="str">
        <f>IF('INTERACTION-PAGE'!X98="","",'INTERACTION-PAGE'!X98)</f>
        <v/>
      </c>
      <c r="Y106" s="167" t="str">
        <f t="shared" si="6"/>
        <v/>
      </c>
      <c r="Z106" s="167" t="str">
        <f t="shared" ref="Z106:AD106" si="100">IF(OR( $B106="", $B106="AB", $B106="UR", $C106="", $C106="AB", $C106="UR", $D106="AB", $D106="UR"),"",(IF(OR(E$10&gt;0,J$10&gt;0,O$10&gt;0,T$10&gt;0),(Z$10*(IF(AND(E$10&gt;0), IF(OR(E106="", E106="AB",E106="UR"),0,E106),0) +IF(AND(J$10&gt;0), IF(OR(J106="",J106="AB",J106=""),0,J106),0)+IF(AND(O$10&gt;0), IF(OR(O106="", O106="AB",O106="UR"),0,O106),0)+IF(AND(T$10&gt;0), IF(OR(T106="",T106="AB",T106="UR"),0,T106),0))/(E$10+J$10+O$10+T$10))," ")))</f>
        <v/>
      </c>
      <c r="AA106" s="167" t="str">
        <f t="shared" si="100"/>
        <v/>
      </c>
      <c r="AB106" s="167" t="str">
        <f t="shared" si="100"/>
        <v/>
      </c>
      <c r="AC106" s="167" t="str">
        <f t="shared" si="100"/>
        <v/>
      </c>
      <c r="AD106" s="167" t="str">
        <f t="shared" si="100"/>
        <v/>
      </c>
      <c r="AE106" s="168" t="str">
        <f t="shared" si="5"/>
        <v/>
      </c>
      <c r="AF106" s="29"/>
    </row>
    <row r="107" ht="15.0" customHeight="1">
      <c r="A107" s="65">
        <v>97.0</v>
      </c>
      <c r="B107" s="92" t="str">
        <f>IF('INTERACTION-PAGE'!B99="","",'INTERACTION-PAGE'!B99)</f>
        <v/>
      </c>
      <c r="C107" s="92" t="str">
        <f>IF('INTERACTION-PAGE'!C99="","",'INTERACTION-PAGE'!C99)</f>
        <v/>
      </c>
      <c r="D107" s="92" t="str">
        <f>IF('INTERACTION-PAGE'!D99="","",'INTERACTION-PAGE'!D99)</f>
        <v/>
      </c>
      <c r="E107" s="92" t="str">
        <f>IF('INTERACTION-PAGE'!E99="","",'INTERACTION-PAGE'!E99)</f>
        <v/>
      </c>
      <c r="F107" s="92" t="str">
        <f>IF('INTERACTION-PAGE'!F99="","",'INTERACTION-PAGE'!F99)</f>
        <v/>
      </c>
      <c r="G107" s="92" t="str">
        <f>IF('INTERACTION-PAGE'!G99="","",'INTERACTION-PAGE'!G99)</f>
        <v/>
      </c>
      <c r="H107" s="92" t="str">
        <f>IF('INTERACTION-PAGE'!H99="","",'INTERACTION-PAGE'!H99)</f>
        <v/>
      </c>
      <c r="I107" s="92" t="str">
        <f>IF('INTERACTION-PAGE'!I99="","",'INTERACTION-PAGE'!I99)</f>
        <v/>
      </c>
      <c r="J107" s="92" t="str">
        <f>IF('INTERACTION-PAGE'!J99="","",'INTERACTION-PAGE'!J99)</f>
        <v/>
      </c>
      <c r="K107" s="92" t="str">
        <f>IF('INTERACTION-PAGE'!K99="","",'INTERACTION-PAGE'!K99)</f>
        <v/>
      </c>
      <c r="L107" s="92" t="str">
        <f>IF('INTERACTION-PAGE'!L99="","",'INTERACTION-PAGE'!L99)</f>
        <v/>
      </c>
      <c r="M107" s="92" t="str">
        <f>IF('INTERACTION-PAGE'!M99="","",'INTERACTION-PAGE'!M99)</f>
        <v/>
      </c>
      <c r="N107" s="92" t="str">
        <f>IF('INTERACTION-PAGE'!N99="","",'INTERACTION-PAGE'!N99)</f>
        <v/>
      </c>
      <c r="O107" s="92" t="str">
        <f>IF('INTERACTION-PAGE'!O99="","",'INTERACTION-PAGE'!O99)</f>
        <v/>
      </c>
      <c r="P107" s="92" t="str">
        <f>IF('INTERACTION-PAGE'!P99="","",'INTERACTION-PAGE'!P99)</f>
        <v/>
      </c>
      <c r="Q107" s="92" t="str">
        <f>IF('INTERACTION-PAGE'!Q99="","",'INTERACTION-PAGE'!Q99)</f>
        <v/>
      </c>
      <c r="R107" s="92" t="str">
        <f>IF('INTERACTION-PAGE'!R99="","",'INTERACTION-PAGE'!R99)</f>
        <v/>
      </c>
      <c r="S107" s="92" t="str">
        <f>IF('INTERACTION-PAGE'!S99="","",'INTERACTION-PAGE'!S99)</f>
        <v/>
      </c>
      <c r="T107" s="92" t="str">
        <f>IF('INTERACTION-PAGE'!T99="","",'INTERACTION-PAGE'!T99)</f>
        <v/>
      </c>
      <c r="U107" s="92" t="str">
        <f>IF('INTERACTION-PAGE'!U99="","",'INTERACTION-PAGE'!U99)</f>
        <v/>
      </c>
      <c r="V107" s="92" t="str">
        <f>IF('INTERACTION-PAGE'!V99="","",'INTERACTION-PAGE'!V99)</f>
        <v/>
      </c>
      <c r="W107" s="92" t="str">
        <f>IF('INTERACTION-PAGE'!W99="","",'INTERACTION-PAGE'!W99)</f>
        <v/>
      </c>
      <c r="X107" s="92" t="str">
        <f>IF('INTERACTION-PAGE'!X99="","",'INTERACTION-PAGE'!X99)</f>
        <v/>
      </c>
      <c r="Y107" s="167" t="str">
        <f t="shared" si="6"/>
        <v/>
      </c>
      <c r="Z107" s="167" t="str">
        <f t="shared" ref="Z107:AD107" si="101">IF(OR( $B107="", $B107="AB", $B107="UR", $C107="", $C107="AB", $C107="UR", $D107="AB", $D107="UR"),"",(IF(OR(E$10&gt;0,J$10&gt;0,O$10&gt;0,T$10&gt;0),(Z$10*(IF(AND(E$10&gt;0), IF(OR(E107="", E107="AB",E107="UR"),0,E107),0) +IF(AND(J$10&gt;0), IF(OR(J107="",J107="AB",J107=""),0,J107),0)+IF(AND(O$10&gt;0), IF(OR(O107="", O107="AB",O107="UR"),0,O107),0)+IF(AND(T$10&gt;0), IF(OR(T107="",T107="AB",T107="UR"),0,T107),0))/(E$10+J$10+O$10+T$10))," ")))</f>
        <v/>
      </c>
      <c r="AA107" s="167" t="str">
        <f t="shared" si="101"/>
        <v/>
      </c>
      <c r="AB107" s="167" t="str">
        <f t="shared" si="101"/>
        <v/>
      </c>
      <c r="AC107" s="167" t="str">
        <f t="shared" si="101"/>
        <v/>
      </c>
      <c r="AD107" s="167" t="str">
        <f t="shared" si="101"/>
        <v/>
      </c>
      <c r="AE107" s="168" t="str">
        <f t="shared" si="5"/>
        <v/>
      </c>
      <c r="AF107" s="29"/>
    </row>
    <row r="108" ht="15.0" customHeight="1">
      <c r="A108" s="79">
        <v>98.0</v>
      </c>
      <c r="B108" s="92" t="str">
        <f>IF('INTERACTION-PAGE'!B100="","",'INTERACTION-PAGE'!B100)</f>
        <v/>
      </c>
      <c r="C108" s="92" t="str">
        <f>IF('INTERACTION-PAGE'!C100="","",'INTERACTION-PAGE'!C100)</f>
        <v/>
      </c>
      <c r="D108" s="92" t="str">
        <f>IF('INTERACTION-PAGE'!D100="","",'INTERACTION-PAGE'!D100)</f>
        <v/>
      </c>
      <c r="E108" s="92" t="str">
        <f>IF('INTERACTION-PAGE'!E100="","",'INTERACTION-PAGE'!E100)</f>
        <v/>
      </c>
      <c r="F108" s="92" t="str">
        <f>IF('INTERACTION-PAGE'!F100="","",'INTERACTION-PAGE'!F100)</f>
        <v/>
      </c>
      <c r="G108" s="92" t="str">
        <f>IF('INTERACTION-PAGE'!G100="","",'INTERACTION-PAGE'!G100)</f>
        <v/>
      </c>
      <c r="H108" s="92" t="str">
        <f>IF('INTERACTION-PAGE'!H100="","",'INTERACTION-PAGE'!H100)</f>
        <v/>
      </c>
      <c r="I108" s="92" t="str">
        <f>IF('INTERACTION-PAGE'!I100="","",'INTERACTION-PAGE'!I100)</f>
        <v/>
      </c>
      <c r="J108" s="92" t="str">
        <f>IF('INTERACTION-PAGE'!J100="","",'INTERACTION-PAGE'!J100)</f>
        <v/>
      </c>
      <c r="K108" s="92" t="str">
        <f>IF('INTERACTION-PAGE'!K100="","",'INTERACTION-PAGE'!K100)</f>
        <v/>
      </c>
      <c r="L108" s="92" t="str">
        <f>IF('INTERACTION-PAGE'!L100="","",'INTERACTION-PAGE'!L100)</f>
        <v/>
      </c>
      <c r="M108" s="92" t="str">
        <f>IF('INTERACTION-PAGE'!M100="","",'INTERACTION-PAGE'!M100)</f>
        <v/>
      </c>
      <c r="N108" s="92" t="str">
        <f>IF('INTERACTION-PAGE'!N100="","",'INTERACTION-PAGE'!N100)</f>
        <v/>
      </c>
      <c r="O108" s="92" t="str">
        <f>IF('INTERACTION-PAGE'!O100="","",'INTERACTION-PAGE'!O100)</f>
        <v/>
      </c>
      <c r="P108" s="92" t="str">
        <f>IF('INTERACTION-PAGE'!P100="","",'INTERACTION-PAGE'!P100)</f>
        <v/>
      </c>
      <c r="Q108" s="92" t="str">
        <f>IF('INTERACTION-PAGE'!Q100="","",'INTERACTION-PAGE'!Q100)</f>
        <v/>
      </c>
      <c r="R108" s="92" t="str">
        <f>IF('INTERACTION-PAGE'!R100="","",'INTERACTION-PAGE'!R100)</f>
        <v/>
      </c>
      <c r="S108" s="92" t="str">
        <f>IF('INTERACTION-PAGE'!S100="","",'INTERACTION-PAGE'!S100)</f>
        <v/>
      </c>
      <c r="T108" s="92" t="str">
        <f>IF('INTERACTION-PAGE'!T100="","",'INTERACTION-PAGE'!T100)</f>
        <v/>
      </c>
      <c r="U108" s="92" t="str">
        <f>IF('INTERACTION-PAGE'!U100="","",'INTERACTION-PAGE'!U100)</f>
        <v/>
      </c>
      <c r="V108" s="92" t="str">
        <f>IF('INTERACTION-PAGE'!V100="","",'INTERACTION-PAGE'!V100)</f>
        <v/>
      </c>
      <c r="W108" s="92" t="str">
        <f>IF('INTERACTION-PAGE'!W100="","",'INTERACTION-PAGE'!W100)</f>
        <v/>
      </c>
      <c r="X108" s="92" t="str">
        <f>IF('INTERACTION-PAGE'!X100="","",'INTERACTION-PAGE'!X100)</f>
        <v/>
      </c>
      <c r="Y108" s="167" t="str">
        <f t="shared" si="6"/>
        <v/>
      </c>
      <c r="Z108" s="167" t="str">
        <f t="shared" ref="Z108:AD108" si="102">IF(OR( $B108="", $B108="AB", $B108="UR", $C108="", $C108="AB", $C108="UR", $D108="AB", $D108="UR"),"",(IF(OR(E$10&gt;0,J$10&gt;0,O$10&gt;0,T$10&gt;0),(Z$10*(IF(AND(E$10&gt;0), IF(OR(E108="", E108="AB",E108="UR"),0,E108),0) +IF(AND(J$10&gt;0), IF(OR(J108="",J108="AB",J108=""),0,J108),0)+IF(AND(O$10&gt;0), IF(OR(O108="", O108="AB",O108="UR"),0,O108),0)+IF(AND(T$10&gt;0), IF(OR(T108="",T108="AB",T108="UR"),0,T108),0))/(E$10+J$10+O$10+T$10))," ")))</f>
        <v/>
      </c>
      <c r="AA108" s="167" t="str">
        <f t="shared" si="102"/>
        <v/>
      </c>
      <c r="AB108" s="167" t="str">
        <f t="shared" si="102"/>
        <v/>
      </c>
      <c r="AC108" s="167" t="str">
        <f t="shared" si="102"/>
        <v/>
      </c>
      <c r="AD108" s="167" t="str">
        <f t="shared" si="102"/>
        <v/>
      </c>
      <c r="AE108" s="168" t="str">
        <f t="shared" si="5"/>
        <v/>
      </c>
      <c r="AF108" s="29"/>
    </row>
    <row r="109" ht="15.0" customHeight="1">
      <c r="A109" s="65">
        <v>99.0</v>
      </c>
      <c r="B109" s="92" t="str">
        <f>IF('INTERACTION-PAGE'!B101="","",'INTERACTION-PAGE'!B101)</f>
        <v/>
      </c>
      <c r="C109" s="92" t="str">
        <f>IF('INTERACTION-PAGE'!C101="","",'INTERACTION-PAGE'!C101)</f>
        <v/>
      </c>
      <c r="D109" s="92" t="str">
        <f>IF('INTERACTION-PAGE'!D101="","",'INTERACTION-PAGE'!D101)</f>
        <v/>
      </c>
      <c r="E109" s="92" t="str">
        <f>IF('INTERACTION-PAGE'!E101="","",'INTERACTION-PAGE'!E101)</f>
        <v/>
      </c>
      <c r="F109" s="92" t="str">
        <f>IF('INTERACTION-PAGE'!F101="","",'INTERACTION-PAGE'!F101)</f>
        <v/>
      </c>
      <c r="G109" s="92" t="str">
        <f>IF('INTERACTION-PAGE'!G101="","",'INTERACTION-PAGE'!G101)</f>
        <v/>
      </c>
      <c r="H109" s="92" t="str">
        <f>IF('INTERACTION-PAGE'!H101="","",'INTERACTION-PAGE'!H101)</f>
        <v/>
      </c>
      <c r="I109" s="92" t="str">
        <f>IF('INTERACTION-PAGE'!I101="","",'INTERACTION-PAGE'!I101)</f>
        <v/>
      </c>
      <c r="J109" s="92" t="str">
        <f>IF('INTERACTION-PAGE'!J101="","",'INTERACTION-PAGE'!J101)</f>
        <v/>
      </c>
      <c r="K109" s="92" t="str">
        <f>IF('INTERACTION-PAGE'!K101="","",'INTERACTION-PAGE'!K101)</f>
        <v/>
      </c>
      <c r="L109" s="92" t="str">
        <f>IF('INTERACTION-PAGE'!L101="","",'INTERACTION-PAGE'!L101)</f>
        <v/>
      </c>
      <c r="M109" s="92" t="str">
        <f>IF('INTERACTION-PAGE'!M101="","",'INTERACTION-PAGE'!M101)</f>
        <v/>
      </c>
      <c r="N109" s="92" t="str">
        <f>IF('INTERACTION-PAGE'!N101="","",'INTERACTION-PAGE'!N101)</f>
        <v/>
      </c>
      <c r="O109" s="92" t="str">
        <f>IF('INTERACTION-PAGE'!O101="","",'INTERACTION-PAGE'!O101)</f>
        <v/>
      </c>
      <c r="P109" s="92" t="str">
        <f>IF('INTERACTION-PAGE'!P101="","",'INTERACTION-PAGE'!P101)</f>
        <v/>
      </c>
      <c r="Q109" s="92" t="str">
        <f>IF('INTERACTION-PAGE'!Q101="","",'INTERACTION-PAGE'!Q101)</f>
        <v/>
      </c>
      <c r="R109" s="92" t="str">
        <f>IF('INTERACTION-PAGE'!R101="","",'INTERACTION-PAGE'!R101)</f>
        <v/>
      </c>
      <c r="S109" s="92" t="str">
        <f>IF('INTERACTION-PAGE'!S101="","",'INTERACTION-PAGE'!S101)</f>
        <v/>
      </c>
      <c r="T109" s="92" t="str">
        <f>IF('INTERACTION-PAGE'!T101="","",'INTERACTION-PAGE'!T101)</f>
        <v/>
      </c>
      <c r="U109" s="92" t="str">
        <f>IF('INTERACTION-PAGE'!U101="","",'INTERACTION-PAGE'!U101)</f>
        <v/>
      </c>
      <c r="V109" s="92" t="str">
        <f>IF('INTERACTION-PAGE'!V101="","",'INTERACTION-PAGE'!V101)</f>
        <v/>
      </c>
      <c r="W109" s="92" t="str">
        <f>IF('INTERACTION-PAGE'!W101="","",'INTERACTION-PAGE'!W101)</f>
        <v/>
      </c>
      <c r="X109" s="92" t="str">
        <f>IF('INTERACTION-PAGE'!X101="","",'INTERACTION-PAGE'!X101)</f>
        <v/>
      </c>
      <c r="Y109" s="167" t="str">
        <f t="shared" si="6"/>
        <v/>
      </c>
      <c r="Z109" s="167" t="str">
        <f t="shared" ref="Z109:AD109" si="103">IF(OR( $B109="", $B109="AB", $B109="UR", $C109="", $C109="AB", $C109="UR", $D109="AB", $D109="UR"),"",(IF(OR(E$10&gt;0,J$10&gt;0,O$10&gt;0,T$10&gt;0),(Z$10*(IF(AND(E$10&gt;0), IF(OR(E109="", E109="AB",E109="UR"),0,E109),0) +IF(AND(J$10&gt;0), IF(OR(J109="",J109="AB",J109=""),0,J109),0)+IF(AND(O$10&gt;0), IF(OR(O109="", O109="AB",O109="UR"),0,O109),0)+IF(AND(T$10&gt;0), IF(OR(T109="",T109="AB",T109="UR"),0,T109),0))/(E$10+J$10+O$10+T$10))," ")))</f>
        <v/>
      </c>
      <c r="AA109" s="167" t="str">
        <f t="shared" si="103"/>
        <v/>
      </c>
      <c r="AB109" s="167" t="str">
        <f t="shared" si="103"/>
        <v/>
      </c>
      <c r="AC109" s="167" t="str">
        <f t="shared" si="103"/>
        <v/>
      </c>
      <c r="AD109" s="167" t="str">
        <f t="shared" si="103"/>
        <v/>
      </c>
      <c r="AE109" s="168" t="str">
        <f t="shared" si="5"/>
        <v/>
      </c>
      <c r="AF109" s="29"/>
    </row>
    <row r="110" ht="15.0" customHeight="1">
      <c r="A110" s="79">
        <v>100.0</v>
      </c>
      <c r="B110" s="92" t="str">
        <f>IF('INTERACTION-PAGE'!B102="","",'INTERACTION-PAGE'!B102)</f>
        <v/>
      </c>
      <c r="C110" s="92" t="str">
        <f>IF('INTERACTION-PAGE'!C102="","",'INTERACTION-PAGE'!C102)</f>
        <v/>
      </c>
      <c r="D110" s="92" t="str">
        <f>IF('INTERACTION-PAGE'!D102="","",'INTERACTION-PAGE'!D102)</f>
        <v/>
      </c>
      <c r="E110" s="92" t="str">
        <f>IF('INTERACTION-PAGE'!E102="","",'INTERACTION-PAGE'!E102)</f>
        <v/>
      </c>
      <c r="F110" s="92" t="str">
        <f>IF('INTERACTION-PAGE'!F102="","",'INTERACTION-PAGE'!F102)</f>
        <v/>
      </c>
      <c r="G110" s="92" t="str">
        <f>IF('INTERACTION-PAGE'!G102="","",'INTERACTION-PAGE'!G102)</f>
        <v/>
      </c>
      <c r="H110" s="92" t="str">
        <f>IF('INTERACTION-PAGE'!H102="","",'INTERACTION-PAGE'!H102)</f>
        <v/>
      </c>
      <c r="I110" s="92" t="str">
        <f>IF('INTERACTION-PAGE'!I102="","",'INTERACTION-PAGE'!I102)</f>
        <v/>
      </c>
      <c r="J110" s="92" t="str">
        <f>IF('INTERACTION-PAGE'!J102="","",'INTERACTION-PAGE'!J102)</f>
        <v/>
      </c>
      <c r="K110" s="92" t="str">
        <f>IF('INTERACTION-PAGE'!K102="","",'INTERACTION-PAGE'!K102)</f>
        <v/>
      </c>
      <c r="L110" s="92" t="str">
        <f>IF('INTERACTION-PAGE'!L102="","",'INTERACTION-PAGE'!L102)</f>
        <v/>
      </c>
      <c r="M110" s="92" t="str">
        <f>IF('INTERACTION-PAGE'!M102="","",'INTERACTION-PAGE'!M102)</f>
        <v/>
      </c>
      <c r="N110" s="92" t="str">
        <f>IF('INTERACTION-PAGE'!N102="","",'INTERACTION-PAGE'!N102)</f>
        <v/>
      </c>
      <c r="O110" s="92" t="str">
        <f>IF('INTERACTION-PAGE'!O102="","",'INTERACTION-PAGE'!O102)</f>
        <v/>
      </c>
      <c r="P110" s="92" t="str">
        <f>IF('INTERACTION-PAGE'!P102="","",'INTERACTION-PAGE'!P102)</f>
        <v/>
      </c>
      <c r="Q110" s="92" t="str">
        <f>IF('INTERACTION-PAGE'!Q102="","",'INTERACTION-PAGE'!Q102)</f>
        <v/>
      </c>
      <c r="R110" s="92" t="str">
        <f>IF('INTERACTION-PAGE'!R102="","",'INTERACTION-PAGE'!R102)</f>
        <v/>
      </c>
      <c r="S110" s="92" t="str">
        <f>IF('INTERACTION-PAGE'!S102="","",'INTERACTION-PAGE'!S102)</f>
        <v/>
      </c>
      <c r="T110" s="92" t="str">
        <f>IF('INTERACTION-PAGE'!T102="","",'INTERACTION-PAGE'!T102)</f>
        <v/>
      </c>
      <c r="U110" s="92" t="str">
        <f>IF('INTERACTION-PAGE'!U102="","",'INTERACTION-PAGE'!U102)</f>
        <v/>
      </c>
      <c r="V110" s="92" t="str">
        <f>IF('INTERACTION-PAGE'!V102="","",'INTERACTION-PAGE'!V102)</f>
        <v/>
      </c>
      <c r="W110" s="92" t="str">
        <f>IF('INTERACTION-PAGE'!W102="","",'INTERACTION-PAGE'!W102)</f>
        <v/>
      </c>
      <c r="X110" s="92" t="str">
        <f>IF('INTERACTION-PAGE'!X102="","",'INTERACTION-PAGE'!X102)</f>
        <v/>
      </c>
      <c r="Y110" s="167" t="str">
        <f t="shared" si="6"/>
        <v/>
      </c>
      <c r="Z110" s="167" t="str">
        <f t="shared" ref="Z110:AD110" si="104">IF(OR( $B110="", $B110="AB", $B110="UR", $C110="", $C110="AB", $C110="UR", $D110="AB", $D110="UR"),"",(IF(OR(E$10&gt;0,J$10&gt;0,O$10&gt;0,T$10&gt;0),(Z$10*(IF(AND(E$10&gt;0), IF(OR(E110="", E110="AB",E110="UR"),0,E110),0) +IF(AND(J$10&gt;0), IF(OR(J110="",J110="AB",J110=""),0,J110),0)+IF(AND(O$10&gt;0), IF(OR(O110="", O110="AB",O110="UR"),0,O110),0)+IF(AND(T$10&gt;0), IF(OR(T110="",T110="AB",T110="UR"),0,T110),0))/(E$10+J$10+O$10+T$10))," ")))</f>
        <v/>
      </c>
      <c r="AA110" s="167" t="str">
        <f t="shared" si="104"/>
        <v/>
      </c>
      <c r="AB110" s="167" t="str">
        <f t="shared" si="104"/>
        <v/>
      </c>
      <c r="AC110" s="167" t="str">
        <f t="shared" si="104"/>
        <v/>
      </c>
      <c r="AD110" s="167" t="str">
        <f t="shared" si="104"/>
        <v/>
      </c>
      <c r="AE110" s="168" t="str">
        <f t="shared" si="5"/>
        <v/>
      </c>
      <c r="AF110" s="29"/>
    </row>
    <row r="111" ht="15.0" customHeight="1">
      <c r="A111" s="65">
        <v>101.0</v>
      </c>
      <c r="B111" s="92" t="str">
        <f>IF('INTERACTION-PAGE'!B103="","",'INTERACTION-PAGE'!B103)</f>
        <v/>
      </c>
      <c r="C111" s="92" t="str">
        <f>IF('INTERACTION-PAGE'!C103="","",'INTERACTION-PAGE'!C103)</f>
        <v/>
      </c>
      <c r="D111" s="92" t="str">
        <f>IF('INTERACTION-PAGE'!D103="","",'INTERACTION-PAGE'!D103)</f>
        <v/>
      </c>
      <c r="E111" s="92" t="str">
        <f>IF('INTERACTION-PAGE'!E103="","",'INTERACTION-PAGE'!E103)</f>
        <v/>
      </c>
      <c r="F111" s="92" t="str">
        <f>IF('INTERACTION-PAGE'!F103="","",'INTERACTION-PAGE'!F103)</f>
        <v/>
      </c>
      <c r="G111" s="92" t="str">
        <f>IF('INTERACTION-PAGE'!G103="","",'INTERACTION-PAGE'!G103)</f>
        <v/>
      </c>
      <c r="H111" s="92" t="str">
        <f>IF('INTERACTION-PAGE'!H103="","",'INTERACTION-PAGE'!H103)</f>
        <v/>
      </c>
      <c r="I111" s="92" t="str">
        <f>IF('INTERACTION-PAGE'!I103="","",'INTERACTION-PAGE'!I103)</f>
        <v/>
      </c>
      <c r="J111" s="92" t="str">
        <f>IF('INTERACTION-PAGE'!J103="","",'INTERACTION-PAGE'!J103)</f>
        <v/>
      </c>
      <c r="K111" s="92" t="str">
        <f>IF('INTERACTION-PAGE'!K103="","",'INTERACTION-PAGE'!K103)</f>
        <v/>
      </c>
      <c r="L111" s="92" t="str">
        <f>IF('INTERACTION-PAGE'!L103="","",'INTERACTION-PAGE'!L103)</f>
        <v/>
      </c>
      <c r="M111" s="92" t="str">
        <f>IF('INTERACTION-PAGE'!M103="","",'INTERACTION-PAGE'!M103)</f>
        <v/>
      </c>
      <c r="N111" s="92" t="str">
        <f>IF('INTERACTION-PAGE'!N103="","",'INTERACTION-PAGE'!N103)</f>
        <v/>
      </c>
      <c r="O111" s="92" t="str">
        <f>IF('INTERACTION-PAGE'!O103="","",'INTERACTION-PAGE'!O103)</f>
        <v/>
      </c>
      <c r="P111" s="92" t="str">
        <f>IF('INTERACTION-PAGE'!P103="","",'INTERACTION-PAGE'!P103)</f>
        <v/>
      </c>
      <c r="Q111" s="92" t="str">
        <f>IF('INTERACTION-PAGE'!Q103="","",'INTERACTION-PAGE'!Q103)</f>
        <v/>
      </c>
      <c r="R111" s="92" t="str">
        <f>IF('INTERACTION-PAGE'!R103="","",'INTERACTION-PAGE'!R103)</f>
        <v/>
      </c>
      <c r="S111" s="92" t="str">
        <f>IF('INTERACTION-PAGE'!S103="","",'INTERACTION-PAGE'!S103)</f>
        <v/>
      </c>
      <c r="T111" s="92" t="str">
        <f>IF('INTERACTION-PAGE'!T103="","",'INTERACTION-PAGE'!T103)</f>
        <v/>
      </c>
      <c r="U111" s="92" t="str">
        <f>IF('INTERACTION-PAGE'!U103="","",'INTERACTION-PAGE'!U103)</f>
        <v/>
      </c>
      <c r="V111" s="92" t="str">
        <f>IF('INTERACTION-PAGE'!V103="","",'INTERACTION-PAGE'!V103)</f>
        <v/>
      </c>
      <c r="W111" s="92" t="str">
        <f>IF('INTERACTION-PAGE'!W103="","",'INTERACTION-PAGE'!W103)</f>
        <v/>
      </c>
      <c r="X111" s="92" t="str">
        <f>IF('INTERACTION-PAGE'!X103="","",'INTERACTION-PAGE'!X103)</f>
        <v/>
      </c>
      <c r="Y111" s="167" t="str">
        <f t="shared" si="6"/>
        <v/>
      </c>
      <c r="Z111" s="167" t="str">
        <f t="shared" ref="Z111:AD111" si="105">IF(OR( $B111="", $B111="AB", $B111="UR", $C111="", $C111="AB", $C111="UR", $D111="AB", $D111="UR"),"",(IF(OR(E$10&gt;0,J$10&gt;0,O$10&gt;0,T$10&gt;0),(Z$10*(IF(AND(E$10&gt;0), IF(OR(E111="", E111="AB",E111="UR"),0,E111),0) +IF(AND(J$10&gt;0), IF(OR(J111="",J111="AB",J111=""),0,J111),0)+IF(AND(O$10&gt;0), IF(OR(O111="", O111="AB",O111="UR"),0,O111),0)+IF(AND(T$10&gt;0), IF(OR(T111="",T111="AB",T111="UR"),0,T111),0))/(E$10+J$10+O$10+T$10))," ")))</f>
        <v/>
      </c>
      <c r="AA111" s="167" t="str">
        <f t="shared" si="105"/>
        <v/>
      </c>
      <c r="AB111" s="167" t="str">
        <f t="shared" si="105"/>
        <v/>
      </c>
      <c r="AC111" s="167" t="str">
        <f t="shared" si="105"/>
        <v/>
      </c>
      <c r="AD111" s="167" t="str">
        <f t="shared" si="105"/>
        <v/>
      </c>
      <c r="AE111" s="168" t="str">
        <f t="shared" si="5"/>
        <v/>
      </c>
      <c r="AF111" s="29"/>
    </row>
    <row r="112" ht="15.0" customHeight="1">
      <c r="A112" s="79">
        <v>102.0</v>
      </c>
      <c r="B112" s="92" t="str">
        <f>IF('INTERACTION-PAGE'!B104="","",'INTERACTION-PAGE'!B104)</f>
        <v/>
      </c>
      <c r="C112" s="92" t="str">
        <f>IF('INTERACTION-PAGE'!C104="","",'INTERACTION-PAGE'!C104)</f>
        <v/>
      </c>
      <c r="D112" s="92" t="str">
        <f>IF('INTERACTION-PAGE'!D104="","",'INTERACTION-PAGE'!D104)</f>
        <v/>
      </c>
      <c r="E112" s="92" t="str">
        <f>IF('INTERACTION-PAGE'!E104="","",'INTERACTION-PAGE'!E104)</f>
        <v/>
      </c>
      <c r="F112" s="92" t="str">
        <f>IF('INTERACTION-PAGE'!F104="","",'INTERACTION-PAGE'!F104)</f>
        <v/>
      </c>
      <c r="G112" s="92" t="str">
        <f>IF('INTERACTION-PAGE'!G104="","",'INTERACTION-PAGE'!G104)</f>
        <v/>
      </c>
      <c r="H112" s="92" t="str">
        <f>IF('INTERACTION-PAGE'!H104="","",'INTERACTION-PAGE'!H104)</f>
        <v/>
      </c>
      <c r="I112" s="92" t="str">
        <f>IF('INTERACTION-PAGE'!I104="","",'INTERACTION-PAGE'!I104)</f>
        <v/>
      </c>
      <c r="J112" s="92" t="str">
        <f>IF('INTERACTION-PAGE'!J104="","",'INTERACTION-PAGE'!J104)</f>
        <v/>
      </c>
      <c r="K112" s="92" t="str">
        <f>IF('INTERACTION-PAGE'!K104="","",'INTERACTION-PAGE'!K104)</f>
        <v/>
      </c>
      <c r="L112" s="92" t="str">
        <f>IF('INTERACTION-PAGE'!L104="","",'INTERACTION-PAGE'!L104)</f>
        <v/>
      </c>
      <c r="M112" s="92" t="str">
        <f>IF('INTERACTION-PAGE'!M104="","",'INTERACTION-PAGE'!M104)</f>
        <v/>
      </c>
      <c r="N112" s="92" t="str">
        <f>IF('INTERACTION-PAGE'!N104="","",'INTERACTION-PAGE'!N104)</f>
        <v/>
      </c>
      <c r="O112" s="92" t="str">
        <f>IF('INTERACTION-PAGE'!O104="","",'INTERACTION-PAGE'!O104)</f>
        <v/>
      </c>
      <c r="P112" s="92" t="str">
        <f>IF('INTERACTION-PAGE'!P104="","",'INTERACTION-PAGE'!P104)</f>
        <v/>
      </c>
      <c r="Q112" s="92" t="str">
        <f>IF('INTERACTION-PAGE'!Q104="","",'INTERACTION-PAGE'!Q104)</f>
        <v/>
      </c>
      <c r="R112" s="92" t="str">
        <f>IF('INTERACTION-PAGE'!R104="","",'INTERACTION-PAGE'!R104)</f>
        <v/>
      </c>
      <c r="S112" s="92" t="str">
        <f>IF('INTERACTION-PAGE'!S104="","",'INTERACTION-PAGE'!S104)</f>
        <v/>
      </c>
      <c r="T112" s="92" t="str">
        <f>IF('INTERACTION-PAGE'!T104="","",'INTERACTION-PAGE'!T104)</f>
        <v/>
      </c>
      <c r="U112" s="92" t="str">
        <f>IF('INTERACTION-PAGE'!U104="","",'INTERACTION-PAGE'!U104)</f>
        <v/>
      </c>
      <c r="V112" s="92" t="str">
        <f>IF('INTERACTION-PAGE'!V104="","",'INTERACTION-PAGE'!V104)</f>
        <v/>
      </c>
      <c r="W112" s="92" t="str">
        <f>IF('INTERACTION-PAGE'!W104="","",'INTERACTION-PAGE'!W104)</f>
        <v/>
      </c>
      <c r="X112" s="92" t="str">
        <f>IF('INTERACTION-PAGE'!X104="","",'INTERACTION-PAGE'!X104)</f>
        <v/>
      </c>
      <c r="Y112" s="167" t="str">
        <f t="shared" si="6"/>
        <v/>
      </c>
      <c r="Z112" s="167" t="str">
        <f t="shared" ref="Z112:AD112" si="106">IF(OR( $B112="", $B112="AB", $B112="UR", $C112="", $C112="AB", $C112="UR", $D112="AB", $D112="UR"),"",(IF(OR(E$10&gt;0,J$10&gt;0,O$10&gt;0,T$10&gt;0),(Z$10*(IF(AND(E$10&gt;0), IF(OR(E112="", E112="AB",E112="UR"),0,E112),0) +IF(AND(J$10&gt;0), IF(OR(J112="",J112="AB",J112=""),0,J112),0)+IF(AND(O$10&gt;0), IF(OR(O112="", O112="AB",O112="UR"),0,O112),0)+IF(AND(T$10&gt;0), IF(OR(T112="",T112="AB",T112="UR"),0,T112),0))/(E$10+J$10+O$10+T$10))," ")))</f>
        <v/>
      </c>
      <c r="AA112" s="167" t="str">
        <f t="shared" si="106"/>
        <v/>
      </c>
      <c r="AB112" s="167" t="str">
        <f t="shared" si="106"/>
        <v/>
      </c>
      <c r="AC112" s="167" t="str">
        <f t="shared" si="106"/>
        <v/>
      </c>
      <c r="AD112" s="167" t="str">
        <f t="shared" si="106"/>
        <v/>
      </c>
      <c r="AE112" s="168" t="str">
        <f t="shared" si="5"/>
        <v/>
      </c>
      <c r="AF112" s="29"/>
    </row>
    <row r="113" ht="15.0" customHeight="1">
      <c r="A113" s="65">
        <v>103.0</v>
      </c>
      <c r="B113" s="92" t="str">
        <f>IF('INTERACTION-PAGE'!B105="","",'INTERACTION-PAGE'!B105)</f>
        <v/>
      </c>
      <c r="C113" s="92" t="str">
        <f>IF('INTERACTION-PAGE'!C105="","",'INTERACTION-PAGE'!C105)</f>
        <v/>
      </c>
      <c r="D113" s="92" t="str">
        <f>IF('INTERACTION-PAGE'!D105="","",'INTERACTION-PAGE'!D105)</f>
        <v/>
      </c>
      <c r="E113" s="92" t="str">
        <f>IF('INTERACTION-PAGE'!E105="","",'INTERACTION-PAGE'!E105)</f>
        <v/>
      </c>
      <c r="F113" s="92" t="str">
        <f>IF('INTERACTION-PAGE'!F105="","",'INTERACTION-PAGE'!F105)</f>
        <v/>
      </c>
      <c r="G113" s="92" t="str">
        <f>IF('INTERACTION-PAGE'!G105="","",'INTERACTION-PAGE'!G105)</f>
        <v/>
      </c>
      <c r="H113" s="92" t="str">
        <f>IF('INTERACTION-PAGE'!H105="","",'INTERACTION-PAGE'!H105)</f>
        <v/>
      </c>
      <c r="I113" s="92" t="str">
        <f>IF('INTERACTION-PAGE'!I105="","",'INTERACTION-PAGE'!I105)</f>
        <v/>
      </c>
      <c r="J113" s="92" t="str">
        <f>IF('INTERACTION-PAGE'!J105="","",'INTERACTION-PAGE'!J105)</f>
        <v/>
      </c>
      <c r="K113" s="92" t="str">
        <f>IF('INTERACTION-PAGE'!K105="","",'INTERACTION-PAGE'!K105)</f>
        <v/>
      </c>
      <c r="L113" s="92" t="str">
        <f>IF('INTERACTION-PAGE'!L105="","",'INTERACTION-PAGE'!L105)</f>
        <v/>
      </c>
      <c r="M113" s="92" t="str">
        <f>IF('INTERACTION-PAGE'!M105="","",'INTERACTION-PAGE'!M105)</f>
        <v/>
      </c>
      <c r="N113" s="92" t="str">
        <f>IF('INTERACTION-PAGE'!N105="","",'INTERACTION-PAGE'!N105)</f>
        <v/>
      </c>
      <c r="O113" s="92" t="str">
        <f>IF('INTERACTION-PAGE'!O105="","",'INTERACTION-PAGE'!O105)</f>
        <v/>
      </c>
      <c r="P113" s="92" t="str">
        <f>IF('INTERACTION-PAGE'!P105="","",'INTERACTION-PAGE'!P105)</f>
        <v/>
      </c>
      <c r="Q113" s="92" t="str">
        <f>IF('INTERACTION-PAGE'!Q105="","",'INTERACTION-PAGE'!Q105)</f>
        <v/>
      </c>
      <c r="R113" s="92" t="str">
        <f>IF('INTERACTION-PAGE'!R105="","",'INTERACTION-PAGE'!R105)</f>
        <v/>
      </c>
      <c r="S113" s="92" t="str">
        <f>IF('INTERACTION-PAGE'!S105="","",'INTERACTION-PAGE'!S105)</f>
        <v/>
      </c>
      <c r="T113" s="92" t="str">
        <f>IF('INTERACTION-PAGE'!T105="","",'INTERACTION-PAGE'!T105)</f>
        <v/>
      </c>
      <c r="U113" s="92" t="str">
        <f>IF('INTERACTION-PAGE'!U105="","",'INTERACTION-PAGE'!U105)</f>
        <v/>
      </c>
      <c r="V113" s="92" t="str">
        <f>IF('INTERACTION-PAGE'!V105="","",'INTERACTION-PAGE'!V105)</f>
        <v/>
      </c>
      <c r="W113" s="92" t="str">
        <f>IF('INTERACTION-PAGE'!W105="","",'INTERACTION-PAGE'!W105)</f>
        <v/>
      </c>
      <c r="X113" s="92" t="str">
        <f>IF('INTERACTION-PAGE'!X105="","",'INTERACTION-PAGE'!X105)</f>
        <v/>
      </c>
      <c r="Y113" s="167" t="str">
        <f t="shared" si="6"/>
        <v/>
      </c>
      <c r="Z113" s="167" t="str">
        <f t="shared" ref="Z113:AD113" si="107">IF(OR( $B113="", $B113="AB", $B113="UR", $C113="", $C113="AB", $C113="UR", $D113="AB", $D113="UR"),"",(IF(OR(E$10&gt;0,J$10&gt;0,O$10&gt;0,T$10&gt;0),(Z$10*(IF(AND(E$10&gt;0), IF(OR(E113="", E113="AB",E113="UR"),0,E113),0) +IF(AND(J$10&gt;0), IF(OR(J113="",J113="AB",J113=""),0,J113),0)+IF(AND(O$10&gt;0), IF(OR(O113="", O113="AB",O113="UR"),0,O113),0)+IF(AND(T$10&gt;0), IF(OR(T113="",T113="AB",T113="UR"),0,T113),0))/(E$10+J$10+O$10+T$10))," ")))</f>
        <v/>
      </c>
      <c r="AA113" s="167" t="str">
        <f t="shared" si="107"/>
        <v/>
      </c>
      <c r="AB113" s="167" t="str">
        <f t="shared" si="107"/>
        <v/>
      </c>
      <c r="AC113" s="167" t="str">
        <f t="shared" si="107"/>
        <v/>
      </c>
      <c r="AD113" s="167" t="str">
        <f t="shared" si="107"/>
        <v/>
      </c>
      <c r="AE113" s="168" t="str">
        <f t="shared" si="5"/>
        <v/>
      </c>
      <c r="AF113" s="29"/>
    </row>
    <row r="114" ht="15.0" customHeight="1">
      <c r="A114" s="79">
        <v>104.0</v>
      </c>
      <c r="B114" s="92" t="str">
        <f>IF('INTERACTION-PAGE'!B106="","",'INTERACTION-PAGE'!B106)</f>
        <v/>
      </c>
      <c r="C114" s="92" t="str">
        <f>IF('INTERACTION-PAGE'!C106="","",'INTERACTION-PAGE'!C106)</f>
        <v/>
      </c>
      <c r="D114" s="92" t="str">
        <f>IF('INTERACTION-PAGE'!D106="","",'INTERACTION-PAGE'!D106)</f>
        <v/>
      </c>
      <c r="E114" s="92" t="str">
        <f>IF('INTERACTION-PAGE'!E106="","",'INTERACTION-PAGE'!E106)</f>
        <v/>
      </c>
      <c r="F114" s="92" t="str">
        <f>IF('INTERACTION-PAGE'!F106="","",'INTERACTION-PAGE'!F106)</f>
        <v/>
      </c>
      <c r="G114" s="92" t="str">
        <f>IF('INTERACTION-PAGE'!G106="","",'INTERACTION-PAGE'!G106)</f>
        <v/>
      </c>
      <c r="H114" s="92" t="str">
        <f>IF('INTERACTION-PAGE'!H106="","",'INTERACTION-PAGE'!H106)</f>
        <v/>
      </c>
      <c r="I114" s="92" t="str">
        <f>IF('INTERACTION-PAGE'!I106="","",'INTERACTION-PAGE'!I106)</f>
        <v/>
      </c>
      <c r="J114" s="92" t="str">
        <f>IF('INTERACTION-PAGE'!J106="","",'INTERACTION-PAGE'!J106)</f>
        <v/>
      </c>
      <c r="K114" s="92" t="str">
        <f>IF('INTERACTION-PAGE'!K106="","",'INTERACTION-PAGE'!K106)</f>
        <v/>
      </c>
      <c r="L114" s="92" t="str">
        <f>IF('INTERACTION-PAGE'!L106="","",'INTERACTION-PAGE'!L106)</f>
        <v/>
      </c>
      <c r="M114" s="92" t="str">
        <f>IF('INTERACTION-PAGE'!M106="","",'INTERACTION-PAGE'!M106)</f>
        <v/>
      </c>
      <c r="N114" s="92" t="str">
        <f>IF('INTERACTION-PAGE'!N106="","",'INTERACTION-PAGE'!N106)</f>
        <v/>
      </c>
      <c r="O114" s="92" t="str">
        <f>IF('INTERACTION-PAGE'!O106="","",'INTERACTION-PAGE'!O106)</f>
        <v/>
      </c>
      <c r="P114" s="92" t="str">
        <f>IF('INTERACTION-PAGE'!P106="","",'INTERACTION-PAGE'!P106)</f>
        <v/>
      </c>
      <c r="Q114" s="92" t="str">
        <f>IF('INTERACTION-PAGE'!Q106="","",'INTERACTION-PAGE'!Q106)</f>
        <v/>
      </c>
      <c r="R114" s="92" t="str">
        <f>IF('INTERACTION-PAGE'!R106="","",'INTERACTION-PAGE'!R106)</f>
        <v/>
      </c>
      <c r="S114" s="92" t="str">
        <f>IF('INTERACTION-PAGE'!S106="","",'INTERACTION-PAGE'!S106)</f>
        <v/>
      </c>
      <c r="T114" s="92" t="str">
        <f>IF('INTERACTION-PAGE'!T106="","",'INTERACTION-PAGE'!T106)</f>
        <v/>
      </c>
      <c r="U114" s="92" t="str">
        <f>IF('INTERACTION-PAGE'!U106="","",'INTERACTION-PAGE'!U106)</f>
        <v/>
      </c>
      <c r="V114" s="92" t="str">
        <f>IF('INTERACTION-PAGE'!V106="","",'INTERACTION-PAGE'!V106)</f>
        <v/>
      </c>
      <c r="W114" s="92" t="str">
        <f>IF('INTERACTION-PAGE'!W106="","",'INTERACTION-PAGE'!W106)</f>
        <v/>
      </c>
      <c r="X114" s="92" t="str">
        <f>IF('INTERACTION-PAGE'!X106="","",'INTERACTION-PAGE'!X106)</f>
        <v/>
      </c>
      <c r="Y114" s="167" t="str">
        <f t="shared" si="6"/>
        <v/>
      </c>
      <c r="Z114" s="167" t="str">
        <f t="shared" ref="Z114:AD114" si="108">IF(OR( $B114="", $B114="AB", $B114="UR", $C114="", $C114="AB", $C114="UR", $D114="AB", $D114="UR"),"",(IF(OR(E$10&gt;0,J$10&gt;0,O$10&gt;0,T$10&gt;0),(Z$10*(IF(AND(E$10&gt;0), IF(OR(E114="", E114="AB",E114="UR"),0,E114),0) +IF(AND(J$10&gt;0), IF(OR(J114="",J114="AB",J114=""),0,J114),0)+IF(AND(O$10&gt;0), IF(OR(O114="", O114="AB",O114="UR"),0,O114),0)+IF(AND(T$10&gt;0), IF(OR(T114="",T114="AB",T114="UR"),0,T114),0))/(E$10+J$10+O$10+T$10))," ")))</f>
        <v/>
      </c>
      <c r="AA114" s="167" t="str">
        <f t="shared" si="108"/>
        <v/>
      </c>
      <c r="AB114" s="167" t="str">
        <f t="shared" si="108"/>
        <v/>
      </c>
      <c r="AC114" s="167" t="str">
        <f t="shared" si="108"/>
        <v/>
      </c>
      <c r="AD114" s="167" t="str">
        <f t="shared" si="108"/>
        <v/>
      </c>
      <c r="AE114" s="168" t="str">
        <f t="shared" si="5"/>
        <v/>
      </c>
      <c r="AF114" s="29"/>
    </row>
    <row r="115" ht="15.0" customHeight="1">
      <c r="A115" s="65">
        <v>105.0</v>
      </c>
      <c r="B115" s="92" t="str">
        <f>IF('INTERACTION-PAGE'!B107="","",'INTERACTION-PAGE'!B107)</f>
        <v/>
      </c>
      <c r="C115" s="92" t="str">
        <f>IF('INTERACTION-PAGE'!C107="","",'INTERACTION-PAGE'!C107)</f>
        <v/>
      </c>
      <c r="D115" s="92" t="str">
        <f>IF('INTERACTION-PAGE'!D107="","",'INTERACTION-PAGE'!D107)</f>
        <v/>
      </c>
      <c r="E115" s="92" t="str">
        <f>IF('INTERACTION-PAGE'!E107="","",'INTERACTION-PAGE'!E107)</f>
        <v/>
      </c>
      <c r="F115" s="92" t="str">
        <f>IF('INTERACTION-PAGE'!F107="","",'INTERACTION-PAGE'!F107)</f>
        <v/>
      </c>
      <c r="G115" s="92" t="str">
        <f>IF('INTERACTION-PAGE'!G107="","",'INTERACTION-PAGE'!G107)</f>
        <v/>
      </c>
      <c r="H115" s="92" t="str">
        <f>IF('INTERACTION-PAGE'!H107="","",'INTERACTION-PAGE'!H107)</f>
        <v/>
      </c>
      <c r="I115" s="92" t="str">
        <f>IF('INTERACTION-PAGE'!I107="","",'INTERACTION-PAGE'!I107)</f>
        <v/>
      </c>
      <c r="J115" s="92" t="str">
        <f>IF('INTERACTION-PAGE'!J107="","",'INTERACTION-PAGE'!J107)</f>
        <v/>
      </c>
      <c r="K115" s="92" t="str">
        <f>IF('INTERACTION-PAGE'!K107="","",'INTERACTION-PAGE'!K107)</f>
        <v/>
      </c>
      <c r="L115" s="92" t="str">
        <f>IF('INTERACTION-PAGE'!L107="","",'INTERACTION-PAGE'!L107)</f>
        <v/>
      </c>
      <c r="M115" s="92" t="str">
        <f>IF('INTERACTION-PAGE'!M107="","",'INTERACTION-PAGE'!M107)</f>
        <v/>
      </c>
      <c r="N115" s="92" t="str">
        <f>IF('INTERACTION-PAGE'!N107="","",'INTERACTION-PAGE'!N107)</f>
        <v/>
      </c>
      <c r="O115" s="92" t="str">
        <f>IF('INTERACTION-PAGE'!O107="","",'INTERACTION-PAGE'!O107)</f>
        <v/>
      </c>
      <c r="P115" s="92" t="str">
        <f>IF('INTERACTION-PAGE'!P107="","",'INTERACTION-PAGE'!P107)</f>
        <v/>
      </c>
      <c r="Q115" s="92" t="str">
        <f>IF('INTERACTION-PAGE'!Q107="","",'INTERACTION-PAGE'!Q107)</f>
        <v/>
      </c>
      <c r="R115" s="92" t="str">
        <f>IF('INTERACTION-PAGE'!R107="","",'INTERACTION-PAGE'!R107)</f>
        <v/>
      </c>
      <c r="S115" s="92" t="str">
        <f>IF('INTERACTION-PAGE'!S107="","",'INTERACTION-PAGE'!S107)</f>
        <v/>
      </c>
      <c r="T115" s="92" t="str">
        <f>IF('INTERACTION-PAGE'!T107="","",'INTERACTION-PAGE'!T107)</f>
        <v/>
      </c>
      <c r="U115" s="92" t="str">
        <f>IF('INTERACTION-PAGE'!U107="","",'INTERACTION-PAGE'!U107)</f>
        <v/>
      </c>
      <c r="V115" s="92" t="str">
        <f>IF('INTERACTION-PAGE'!V107="","",'INTERACTION-PAGE'!V107)</f>
        <v/>
      </c>
      <c r="W115" s="92" t="str">
        <f>IF('INTERACTION-PAGE'!W107="","",'INTERACTION-PAGE'!W107)</f>
        <v/>
      </c>
      <c r="X115" s="92" t="str">
        <f>IF('INTERACTION-PAGE'!X107="","",'INTERACTION-PAGE'!X107)</f>
        <v/>
      </c>
      <c r="Y115" s="167" t="str">
        <f t="shared" si="6"/>
        <v/>
      </c>
      <c r="Z115" s="167" t="str">
        <f t="shared" ref="Z115:AD115" si="109">IF(OR( $B115="", $B115="AB", $B115="UR", $C115="", $C115="AB", $C115="UR", $D115="AB", $D115="UR"),"",(IF(OR(E$10&gt;0,J$10&gt;0,O$10&gt;0,T$10&gt;0),(Z$10*(IF(AND(E$10&gt;0), IF(OR(E115="", E115="AB",E115="UR"),0,E115),0) +IF(AND(J$10&gt;0), IF(OR(J115="",J115="AB",J115=""),0,J115),0)+IF(AND(O$10&gt;0), IF(OR(O115="", O115="AB",O115="UR"),0,O115),0)+IF(AND(T$10&gt;0), IF(OR(T115="",T115="AB",T115="UR"),0,T115),0))/(E$10+J$10+O$10+T$10))," ")))</f>
        <v/>
      </c>
      <c r="AA115" s="167" t="str">
        <f t="shared" si="109"/>
        <v/>
      </c>
      <c r="AB115" s="167" t="str">
        <f t="shared" si="109"/>
        <v/>
      </c>
      <c r="AC115" s="167" t="str">
        <f t="shared" si="109"/>
        <v/>
      </c>
      <c r="AD115" s="167" t="str">
        <f t="shared" si="109"/>
        <v/>
      </c>
      <c r="AE115" s="168" t="str">
        <f t="shared" si="5"/>
        <v/>
      </c>
      <c r="AF115" s="29"/>
    </row>
    <row r="116" ht="15.0" customHeight="1">
      <c r="A116" s="79">
        <v>106.0</v>
      </c>
      <c r="B116" s="92" t="str">
        <f>IF('INTERACTION-PAGE'!B108="","",'INTERACTION-PAGE'!B108)</f>
        <v/>
      </c>
      <c r="C116" s="92" t="str">
        <f>IF('INTERACTION-PAGE'!C108="","",'INTERACTION-PAGE'!C108)</f>
        <v/>
      </c>
      <c r="D116" s="92" t="str">
        <f>IF('INTERACTION-PAGE'!D108="","",'INTERACTION-PAGE'!D108)</f>
        <v/>
      </c>
      <c r="E116" s="92" t="str">
        <f>IF('INTERACTION-PAGE'!E108="","",'INTERACTION-PAGE'!E108)</f>
        <v/>
      </c>
      <c r="F116" s="92" t="str">
        <f>IF('INTERACTION-PAGE'!F108="","",'INTERACTION-PAGE'!F108)</f>
        <v/>
      </c>
      <c r="G116" s="92" t="str">
        <f>IF('INTERACTION-PAGE'!G108="","",'INTERACTION-PAGE'!G108)</f>
        <v/>
      </c>
      <c r="H116" s="92" t="str">
        <f>IF('INTERACTION-PAGE'!H108="","",'INTERACTION-PAGE'!H108)</f>
        <v/>
      </c>
      <c r="I116" s="92" t="str">
        <f>IF('INTERACTION-PAGE'!I108="","",'INTERACTION-PAGE'!I108)</f>
        <v/>
      </c>
      <c r="J116" s="92" t="str">
        <f>IF('INTERACTION-PAGE'!J108="","",'INTERACTION-PAGE'!J108)</f>
        <v/>
      </c>
      <c r="K116" s="92" t="str">
        <f>IF('INTERACTION-PAGE'!K108="","",'INTERACTION-PAGE'!K108)</f>
        <v/>
      </c>
      <c r="L116" s="92" t="str">
        <f>IF('INTERACTION-PAGE'!L108="","",'INTERACTION-PAGE'!L108)</f>
        <v/>
      </c>
      <c r="M116" s="92" t="str">
        <f>IF('INTERACTION-PAGE'!M108="","",'INTERACTION-PAGE'!M108)</f>
        <v/>
      </c>
      <c r="N116" s="92" t="str">
        <f>IF('INTERACTION-PAGE'!N108="","",'INTERACTION-PAGE'!N108)</f>
        <v/>
      </c>
      <c r="O116" s="92" t="str">
        <f>IF('INTERACTION-PAGE'!O108="","",'INTERACTION-PAGE'!O108)</f>
        <v/>
      </c>
      <c r="P116" s="92" t="str">
        <f>IF('INTERACTION-PAGE'!P108="","",'INTERACTION-PAGE'!P108)</f>
        <v/>
      </c>
      <c r="Q116" s="92" t="str">
        <f>IF('INTERACTION-PAGE'!Q108="","",'INTERACTION-PAGE'!Q108)</f>
        <v/>
      </c>
      <c r="R116" s="92" t="str">
        <f>IF('INTERACTION-PAGE'!R108="","",'INTERACTION-PAGE'!R108)</f>
        <v/>
      </c>
      <c r="S116" s="92" t="str">
        <f>IF('INTERACTION-PAGE'!S108="","",'INTERACTION-PAGE'!S108)</f>
        <v/>
      </c>
      <c r="T116" s="92" t="str">
        <f>IF('INTERACTION-PAGE'!T108="","",'INTERACTION-PAGE'!T108)</f>
        <v/>
      </c>
      <c r="U116" s="92" t="str">
        <f>IF('INTERACTION-PAGE'!U108="","",'INTERACTION-PAGE'!U108)</f>
        <v/>
      </c>
      <c r="V116" s="92" t="str">
        <f>IF('INTERACTION-PAGE'!V108="","",'INTERACTION-PAGE'!V108)</f>
        <v/>
      </c>
      <c r="W116" s="92" t="str">
        <f>IF('INTERACTION-PAGE'!W108="","",'INTERACTION-PAGE'!W108)</f>
        <v/>
      </c>
      <c r="X116" s="92" t="str">
        <f>IF('INTERACTION-PAGE'!X108="","",'INTERACTION-PAGE'!X108)</f>
        <v/>
      </c>
      <c r="Y116" s="167" t="str">
        <f t="shared" si="6"/>
        <v/>
      </c>
      <c r="Z116" s="167" t="str">
        <f t="shared" ref="Z116:AD116" si="110">IF(OR( $B116="", $B116="AB", $B116="UR", $C116="", $C116="AB", $C116="UR", $D116="AB", $D116="UR"),"",(IF(OR(E$10&gt;0,J$10&gt;0,O$10&gt;0,T$10&gt;0),(Z$10*(IF(AND(E$10&gt;0), IF(OR(E116="", E116="AB",E116="UR"),0,E116),0) +IF(AND(J$10&gt;0), IF(OR(J116="",J116="AB",J116=""),0,J116),0)+IF(AND(O$10&gt;0), IF(OR(O116="", O116="AB",O116="UR"),0,O116),0)+IF(AND(T$10&gt;0), IF(OR(T116="",T116="AB",T116="UR"),0,T116),0))/(E$10+J$10+O$10+T$10))," ")))</f>
        <v/>
      </c>
      <c r="AA116" s="167" t="str">
        <f t="shared" si="110"/>
        <v/>
      </c>
      <c r="AB116" s="167" t="str">
        <f t="shared" si="110"/>
        <v/>
      </c>
      <c r="AC116" s="167" t="str">
        <f t="shared" si="110"/>
        <v/>
      </c>
      <c r="AD116" s="167" t="str">
        <f t="shared" si="110"/>
        <v/>
      </c>
      <c r="AE116" s="168" t="str">
        <f t="shared" si="5"/>
        <v/>
      </c>
      <c r="AF116" s="29"/>
    </row>
    <row r="117" ht="15.0" customHeight="1">
      <c r="A117" s="65">
        <v>107.0</v>
      </c>
      <c r="B117" s="92" t="str">
        <f>IF('INTERACTION-PAGE'!B109="","",'INTERACTION-PAGE'!B109)</f>
        <v/>
      </c>
      <c r="C117" s="92" t="str">
        <f>IF('INTERACTION-PAGE'!C109="","",'INTERACTION-PAGE'!C109)</f>
        <v/>
      </c>
      <c r="D117" s="92" t="str">
        <f>IF('INTERACTION-PAGE'!D109="","",'INTERACTION-PAGE'!D109)</f>
        <v/>
      </c>
      <c r="E117" s="92" t="str">
        <f>IF('INTERACTION-PAGE'!E109="","",'INTERACTION-PAGE'!E109)</f>
        <v/>
      </c>
      <c r="F117" s="92" t="str">
        <f>IF('INTERACTION-PAGE'!F109="","",'INTERACTION-PAGE'!F109)</f>
        <v/>
      </c>
      <c r="G117" s="92" t="str">
        <f>IF('INTERACTION-PAGE'!G109="","",'INTERACTION-PAGE'!G109)</f>
        <v/>
      </c>
      <c r="H117" s="92" t="str">
        <f>IF('INTERACTION-PAGE'!H109="","",'INTERACTION-PAGE'!H109)</f>
        <v/>
      </c>
      <c r="I117" s="92" t="str">
        <f>IF('INTERACTION-PAGE'!I109="","",'INTERACTION-PAGE'!I109)</f>
        <v/>
      </c>
      <c r="J117" s="92" t="str">
        <f>IF('INTERACTION-PAGE'!J109="","",'INTERACTION-PAGE'!J109)</f>
        <v/>
      </c>
      <c r="K117" s="92" t="str">
        <f>IF('INTERACTION-PAGE'!K109="","",'INTERACTION-PAGE'!K109)</f>
        <v/>
      </c>
      <c r="L117" s="92" t="str">
        <f>IF('INTERACTION-PAGE'!L109="","",'INTERACTION-PAGE'!L109)</f>
        <v/>
      </c>
      <c r="M117" s="92" t="str">
        <f>IF('INTERACTION-PAGE'!M109="","",'INTERACTION-PAGE'!M109)</f>
        <v/>
      </c>
      <c r="N117" s="92" t="str">
        <f>IF('INTERACTION-PAGE'!N109="","",'INTERACTION-PAGE'!N109)</f>
        <v/>
      </c>
      <c r="O117" s="92" t="str">
        <f>IF('INTERACTION-PAGE'!O109="","",'INTERACTION-PAGE'!O109)</f>
        <v/>
      </c>
      <c r="P117" s="92" t="str">
        <f>IF('INTERACTION-PAGE'!P109="","",'INTERACTION-PAGE'!P109)</f>
        <v/>
      </c>
      <c r="Q117" s="92" t="str">
        <f>IF('INTERACTION-PAGE'!Q109="","",'INTERACTION-PAGE'!Q109)</f>
        <v/>
      </c>
      <c r="R117" s="92" t="str">
        <f>IF('INTERACTION-PAGE'!R109="","",'INTERACTION-PAGE'!R109)</f>
        <v/>
      </c>
      <c r="S117" s="92" t="str">
        <f>IF('INTERACTION-PAGE'!S109="","",'INTERACTION-PAGE'!S109)</f>
        <v/>
      </c>
      <c r="T117" s="92" t="str">
        <f>IF('INTERACTION-PAGE'!T109="","",'INTERACTION-PAGE'!T109)</f>
        <v/>
      </c>
      <c r="U117" s="92" t="str">
        <f>IF('INTERACTION-PAGE'!U109="","",'INTERACTION-PAGE'!U109)</f>
        <v/>
      </c>
      <c r="V117" s="92" t="str">
        <f>IF('INTERACTION-PAGE'!V109="","",'INTERACTION-PAGE'!V109)</f>
        <v/>
      </c>
      <c r="W117" s="92" t="str">
        <f>IF('INTERACTION-PAGE'!W109="","",'INTERACTION-PAGE'!W109)</f>
        <v/>
      </c>
      <c r="X117" s="92" t="str">
        <f>IF('INTERACTION-PAGE'!X109="","",'INTERACTION-PAGE'!X109)</f>
        <v/>
      </c>
      <c r="Y117" s="167" t="str">
        <f t="shared" si="6"/>
        <v/>
      </c>
      <c r="Z117" s="167" t="str">
        <f t="shared" ref="Z117:AD117" si="111">IF(OR( $B117="", $B117="AB", $B117="UR", $C117="", $C117="AB", $C117="UR", $D117="AB", $D117="UR"),"",(IF(OR(E$10&gt;0,J$10&gt;0,O$10&gt;0,T$10&gt;0),(Z$10*(IF(AND(E$10&gt;0), IF(OR(E117="", E117="AB",E117="UR"),0,E117),0) +IF(AND(J$10&gt;0), IF(OR(J117="",J117="AB",J117=""),0,J117),0)+IF(AND(O$10&gt;0), IF(OR(O117="", O117="AB",O117="UR"),0,O117),0)+IF(AND(T$10&gt;0), IF(OR(T117="",T117="AB",T117="UR"),0,T117),0))/(E$10+J$10+O$10+T$10))," ")))</f>
        <v/>
      </c>
      <c r="AA117" s="167" t="str">
        <f t="shared" si="111"/>
        <v/>
      </c>
      <c r="AB117" s="167" t="str">
        <f t="shared" si="111"/>
        <v/>
      </c>
      <c r="AC117" s="167" t="str">
        <f t="shared" si="111"/>
        <v/>
      </c>
      <c r="AD117" s="167" t="str">
        <f t="shared" si="111"/>
        <v/>
      </c>
      <c r="AE117" s="168" t="str">
        <f t="shared" si="5"/>
        <v/>
      </c>
      <c r="AF117" s="29"/>
    </row>
    <row r="118" ht="15.0" customHeight="1">
      <c r="A118" s="79">
        <v>108.0</v>
      </c>
      <c r="B118" s="92" t="str">
        <f>IF('INTERACTION-PAGE'!B110="","",'INTERACTION-PAGE'!B110)</f>
        <v/>
      </c>
      <c r="C118" s="92" t="str">
        <f>IF('INTERACTION-PAGE'!C110="","",'INTERACTION-PAGE'!C110)</f>
        <v/>
      </c>
      <c r="D118" s="92" t="str">
        <f>IF('INTERACTION-PAGE'!D110="","",'INTERACTION-PAGE'!D110)</f>
        <v/>
      </c>
      <c r="E118" s="92" t="str">
        <f>IF('INTERACTION-PAGE'!E110="","",'INTERACTION-PAGE'!E110)</f>
        <v/>
      </c>
      <c r="F118" s="92" t="str">
        <f>IF('INTERACTION-PAGE'!F110="","",'INTERACTION-PAGE'!F110)</f>
        <v/>
      </c>
      <c r="G118" s="92" t="str">
        <f>IF('INTERACTION-PAGE'!G110="","",'INTERACTION-PAGE'!G110)</f>
        <v/>
      </c>
      <c r="H118" s="92" t="str">
        <f>IF('INTERACTION-PAGE'!H110="","",'INTERACTION-PAGE'!H110)</f>
        <v/>
      </c>
      <c r="I118" s="92" t="str">
        <f>IF('INTERACTION-PAGE'!I110="","",'INTERACTION-PAGE'!I110)</f>
        <v/>
      </c>
      <c r="J118" s="92" t="str">
        <f>IF('INTERACTION-PAGE'!J110="","",'INTERACTION-PAGE'!J110)</f>
        <v/>
      </c>
      <c r="K118" s="92" t="str">
        <f>IF('INTERACTION-PAGE'!K110="","",'INTERACTION-PAGE'!K110)</f>
        <v/>
      </c>
      <c r="L118" s="92" t="str">
        <f>IF('INTERACTION-PAGE'!L110="","",'INTERACTION-PAGE'!L110)</f>
        <v/>
      </c>
      <c r="M118" s="92" t="str">
        <f>IF('INTERACTION-PAGE'!M110="","",'INTERACTION-PAGE'!M110)</f>
        <v/>
      </c>
      <c r="N118" s="92" t="str">
        <f>IF('INTERACTION-PAGE'!N110="","",'INTERACTION-PAGE'!N110)</f>
        <v/>
      </c>
      <c r="O118" s="92" t="str">
        <f>IF('INTERACTION-PAGE'!O110="","",'INTERACTION-PAGE'!O110)</f>
        <v/>
      </c>
      <c r="P118" s="92" t="str">
        <f>IF('INTERACTION-PAGE'!P110="","",'INTERACTION-PAGE'!P110)</f>
        <v/>
      </c>
      <c r="Q118" s="92" t="str">
        <f>IF('INTERACTION-PAGE'!Q110="","",'INTERACTION-PAGE'!Q110)</f>
        <v/>
      </c>
      <c r="R118" s="92" t="str">
        <f>IF('INTERACTION-PAGE'!R110="","",'INTERACTION-PAGE'!R110)</f>
        <v/>
      </c>
      <c r="S118" s="92" t="str">
        <f>IF('INTERACTION-PAGE'!S110="","",'INTERACTION-PAGE'!S110)</f>
        <v/>
      </c>
      <c r="T118" s="92" t="str">
        <f>IF('INTERACTION-PAGE'!T110="","",'INTERACTION-PAGE'!T110)</f>
        <v/>
      </c>
      <c r="U118" s="92" t="str">
        <f>IF('INTERACTION-PAGE'!U110="","",'INTERACTION-PAGE'!U110)</f>
        <v/>
      </c>
      <c r="V118" s="92" t="str">
        <f>IF('INTERACTION-PAGE'!V110="","",'INTERACTION-PAGE'!V110)</f>
        <v/>
      </c>
      <c r="W118" s="92" t="str">
        <f>IF('INTERACTION-PAGE'!W110="","",'INTERACTION-PAGE'!W110)</f>
        <v/>
      </c>
      <c r="X118" s="92" t="str">
        <f>IF('INTERACTION-PAGE'!X110="","",'INTERACTION-PAGE'!X110)</f>
        <v/>
      </c>
      <c r="Y118" s="167" t="str">
        <f t="shared" si="6"/>
        <v/>
      </c>
      <c r="Z118" s="167" t="str">
        <f t="shared" ref="Z118:AD118" si="112">IF(OR( $B118="", $B118="AB", $B118="UR", $C118="", $C118="AB", $C118="UR", $D118="AB", $D118="UR"),"",(IF(OR(E$10&gt;0,J$10&gt;0,O$10&gt;0,T$10&gt;0),(Z$10*(IF(AND(E$10&gt;0), IF(OR(E118="", E118="AB",E118="UR"),0,E118),0) +IF(AND(J$10&gt;0), IF(OR(J118="",J118="AB",J118=""),0,J118),0)+IF(AND(O$10&gt;0), IF(OR(O118="", O118="AB",O118="UR"),0,O118),0)+IF(AND(T$10&gt;0), IF(OR(T118="",T118="AB",T118="UR"),0,T118),0))/(E$10+J$10+O$10+T$10))," ")))</f>
        <v/>
      </c>
      <c r="AA118" s="167" t="str">
        <f t="shared" si="112"/>
        <v/>
      </c>
      <c r="AB118" s="167" t="str">
        <f t="shared" si="112"/>
        <v/>
      </c>
      <c r="AC118" s="167" t="str">
        <f t="shared" si="112"/>
        <v/>
      </c>
      <c r="AD118" s="167" t="str">
        <f t="shared" si="112"/>
        <v/>
      </c>
      <c r="AE118" s="168" t="str">
        <f t="shared" si="5"/>
        <v/>
      </c>
      <c r="AF118" s="29"/>
    </row>
    <row r="119" ht="15.0" customHeight="1">
      <c r="A119" s="65">
        <v>109.0</v>
      </c>
      <c r="B119" s="92" t="str">
        <f>IF('INTERACTION-PAGE'!B111="","",'INTERACTION-PAGE'!B111)</f>
        <v/>
      </c>
      <c r="C119" s="92" t="str">
        <f>IF('INTERACTION-PAGE'!C111="","",'INTERACTION-PAGE'!C111)</f>
        <v/>
      </c>
      <c r="D119" s="92" t="str">
        <f>IF('INTERACTION-PAGE'!D111="","",'INTERACTION-PAGE'!D111)</f>
        <v/>
      </c>
      <c r="E119" s="92" t="str">
        <f>IF('INTERACTION-PAGE'!E111="","",'INTERACTION-PAGE'!E111)</f>
        <v/>
      </c>
      <c r="F119" s="92" t="str">
        <f>IF('INTERACTION-PAGE'!F111="","",'INTERACTION-PAGE'!F111)</f>
        <v/>
      </c>
      <c r="G119" s="92" t="str">
        <f>IF('INTERACTION-PAGE'!G111="","",'INTERACTION-PAGE'!G111)</f>
        <v/>
      </c>
      <c r="H119" s="92" t="str">
        <f>IF('INTERACTION-PAGE'!H111="","",'INTERACTION-PAGE'!H111)</f>
        <v/>
      </c>
      <c r="I119" s="92" t="str">
        <f>IF('INTERACTION-PAGE'!I111="","",'INTERACTION-PAGE'!I111)</f>
        <v/>
      </c>
      <c r="J119" s="92" t="str">
        <f>IF('INTERACTION-PAGE'!J111="","",'INTERACTION-PAGE'!J111)</f>
        <v/>
      </c>
      <c r="K119" s="92" t="str">
        <f>IF('INTERACTION-PAGE'!K111="","",'INTERACTION-PAGE'!K111)</f>
        <v/>
      </c>
      <c r="L119" s="92" t="str">
        <f>IF('INTERACTION-PAGE'!L111="","",'INTERACTION-PAGE'!L111)</f>
        <v/>
      </c>
      <c r="M119" s="92" t="str">
        <f>IF('INTERACTION-PAGE'!M111="","",'INTERACTION-PAGE'!M111)</f>
        <v/>
      </c>
      <c r="N119" s="92" t="str">
        <f>IF('INTERACTION-PAGE'!N111="","",'INTERACTION-PAGE'!N111)</f>
        <v/>
      </c>
      <c r="O119" s="92" t="str">
        <f>IF('INTERACTION-PAGE'!O111="","",'INTERACTION-PAGE'!O111)</f>
        <v/>
      </c>
      <c r="P119" s="92" t="str">
        <f>IF('INTERACTION-PAGE'!P111="","",'INTERACTION-PAGE'!P111)</f>
        <v/>
      </c>
      <c r="Q119" s="92" t="str">
        <f>IF('INTERACTION-PAGE'!Q111="","",'INTERACTION-PAGE'!Q111)</f>
        <v/>
      </c>
      <c r="R119" s="92" t="str">
        <f>IF('INTERACTION-PAGE'!R111="","",'INTERACTION-PAGE'!R111)</f>
        <v/>
      </c>
      <c r="S119" s="92" t="str">
        <f>IF('INTERACTION-PAGE'!S111="","",'INTERACTION-PAGE'!S111)</f>
        <v/>
      </c>
      <c r="T119" s="92" t="str">
        <f>IF('INTERACTION-PAGE'!T111="","",'INTERACTION-PAGE'!T111)</f>
        <v/>
      </c>
      <c r="U119" s="92" t="str">
        <f>IF('INTERACTION-PAGE'!U111="","",'INTERACTION-PAGE'!U111)</f>
        <v/>
      </c>
      <c r="V119" s="92" t="str">
        <f>IF('INTERACTION-PAGE'!V111="","",'INTERACTION-PAGE'!V111)</f>
        <v/>
      </c>
      <c r="W119" s="92" t="str">
        <f>IF('INTERACTION-PAGE'!W111="","",'INTERACTION-PAGE'!W111)</f>
        <v/>
      </c>
      <c r="X119" s="92" t="str">
        <f>IF('INTERACTION-PAGE'!X111="","",'INTERACTION-PAGE'!X111)</f>
        <v/>
      </c>
      <c r="Y119" s="167" t="str">
        <f t="shared" si="6"/>
        <v/>
      </c>
      <c r="Z119" s="167" t="str">
        <f t="shared" ref="Z119:AD119" si="113">IF(OR( $B119="", $B119="AB", $B119="UR", $C119="", $C119="AB", $C119="UR", $D119="AB", $D119="UR"),"",(IF(OR(E$10&gt;0,J$10&gt;0,O$10&gt;0,T$10&gt;0),(Z$10*(IF(AND(E$10&gt;0), IF(OR(E119="", E119="AB",E119="UR"),0,E119),0) +IF(AND(J$10&gt;0), IF(OR(J119="",J119="AB",J119=""),0,J119),0)+IF(AND(O$10&gt;0), IF(OR(O119="", O119="AB",O119="UR"),0,O119),0)+IF(AND(T$10&gt;0), IF(OR(T119="",T119="AB",T119="UR"),0,T119),0))/(E$10+J$10+O$10+T$10))," ")))</f>
        <v/>
      </c>
      <c r="AA119" s="167" t="str">
        <f t="shared" si="113"/>
        <v/>
      </c>
      <c r="AB119" s="167" t="str">
        <f t="shared" si="113"/>
        <v/>
      </c>
      <c r="AC119" s="167" t="str">
        <f t="shared" si="113"/>
        <v/>
      </c>
      <c r="AD119" s="167" t="str">
        <f t="shared" si="113"/>
        <v/>
      </c>
      <c r="AE119" s="168" t="str">
        <f t="shared" si="5"/>
        <v/>
      </c>
      <c r="AF119" s="29"/>
    </row>
    <row r="120" ht="15.0" customHeight="1">
      <c r="A120" s="79">
        <v>110.0</v>
      </c>
      <c r="B120" s="92" t="str">
        <f>IF('INTERACTION-PAGE'!B112="","",'INTERACTION-PAGE'!B112)</f>
        <v/>
      </c>
      <c r="C120" s="92" t="str">
        <f>IF('INTERACTION-PAGE'!C112="","",'INTERACTION-PAGE'!C112)</f>
        <v/>
      </c>
      <c r="D120" s="92" t="str">
        <f>IF('INTERACTION-PAGE'!D112="","",'INTERACTION-PAGE'!D112)</f>
        <v/>
      </c>
      <c r="E120" s="92" t="str">
        <f>IF('INTERACTION-PAGE'!E112="","",'INTERACTION-PAGE'!E112)</f>
        <v/>
      </c>
      <c r="F120" s="92" t="str">
        <f>IF('INTERACTION-PAGE'!F112="","",'INTERACTION-PAGE'!F112)</f>
        <v/>
      </c>
      <c r="G120" s="92" t="str">
        <f>IF('INTERACTION-PAGE'!G112="","",'INTERACTION-PAGE'!G112)</f>
        <v/>
      </c>
      <c r="H120" s="92" t="str">
        <f>IF('INTERACTION-PAGE'!H112="","",'INTERACTION-PAGE'!H112)</f>
        <v/>
      </c>
      <c r="I120" s="92" t="str">
        <f>IF('INTERACTION-PAGE'!I112="","",'INTERACTION-PAGE'!I112)</f>
        <v/>
      </c>
      <c r="J120" s="92" t="str">
        <f>IF('INTERACTION-PAGE'!J112="","",'INTERACTION-PAGE'!J112)</f>
        <v/>
      </c>
      <c r="K120" s="92" t="str">
        <f>IF('INTERACTION-PAGE'!K112="","",'INTERACTION-PAGE'!K112)</f>
        <v/>
      </c>
      <c r="L120" s="92" t="str">
        <f>IF('INTERACTION-PAGE'!L112="","",'INTERACTION-PAGE'!L112)</f>
        <v/>
      </c>
      <c r="M120" s="92" t="str">
        <f>IF('INTERACTION-PAGE'!M112="","",'INTERACTION-PAGE'!M112)</f>
        <v/>
      </c>
      <c r="N120" s="92" t="str">
        <f>IF('INTERACTION-PAGE'!N112="","",'INTERACTION-PAGE'!N112)</f>
        <v/>
      </c>
      <c r="O120" s="92" t="str">
        <f>IF('INTERACTION-PAGE'!O112="","",'INTERACTION-PAGE'!O112)</f>
        <v/>
      </c>
      <c r="P120" s="92" t="str">
        <f>IF('INTERACTION-PAGE'!P112="","",'INTERACTION-PAGE'!P112)</f>
        <v/>
      </c>
      <c r="Q120" s="92" t="str">
        <f>IF('INTERACTION-PAGE'!Q112="","",'INTERACTION-PAGE'!Q112)</f>
        <v/>
      </c>
      <c r="R120" s="92" t="str">
        <f>IF('INTERACTION-PAGE'!R112="","",'INTERACTION-PAGE'!R112)</f>
        <v/>
      </c>
      <c r="S120" s="92" t="str">
        <f>IF('INTERACTION-PAGE'!S112="","",'INTERACTION-PAGE'!S112)</f>
        <v/>
      </c>
      <c r="T120" s="92" t="str">
        <f>IF('INTERACTION-PAGE'!T112="","",'INTERACTION-PAGE'!T112)</f>
        <v/>
      </c>
      <c r="U120" s="92" t="str">
        <f>IF('INTERACTION-PAGE'!U112="","",'INTERACTION-PAGE'!U112)</f>
        <v/>
      </c>
      <c r="V120" s="92" t="str">
        <f>IF('INTERACTION-PAGE'!V112="","",'INTERACTION-PAGE'!V112)</f>
        <v/>
      </c>
      <c r="W120" s="92" t="str">
        <f>IF('INTERACTION-PAGE'!W112="","",'INTERACTION-PAGE'!W112)</f>
        <v/>
      </c>
      <c r="X120" s="92" t="str">
        <f>IF('INTERACTION-PAGE'!X112="","",'INTERACTION-PAGE'!X112)</f>
        <v/>
      </c>
      <c r="Y120" s="167" t="str">
        <f t="shared" si="6"/>
        <v/>
      </c>
      <c r="Z120" s="167" t="str">
        <f t="shared" ref="Z120:AD120" si="114">IF(OR( $B120="", $B120="AB", $B120="UR", $C120="", $C120="AB", $C120="UR", $D120="AB", $D120="UR"),"",(IF(OR(E$10&gt;0,J$10&gt;0,O$10&gt;0,T$10&gt;0),(Z$10*(IF(AND(E$10&gt;0), IF(OR(E120="", E120="AB",E120="UR"),0,E120),0) +IF(AND(J$10&gt;0), IF(OR(J120="",J120="AB",J120=""),0,J120),0)+IF(AND(O$10&gt;0), IF(OR(O120="", O120="AB",O120="UR"),0,O120),0)+IF(AND(T$10&gt;0), IF(OR(T120="",T120="AB",T120="UR"),0,T120),0))/(E$10+J$10+O$10+T$10))," ")))</f>
        <v/>
      </c>
      <c r="AA120" s="167" t="str">
        <f t="shared" si="114"/>
        <v/>
      </c>
      <c r="AB120" s="167" t="str">
        <f t="shared" si="114"/>
        <v/>
      </c>
      <c r="AC120" s="167" t="str">
        <f t="shared" si="114"/>
        <v/>
      </c>
      <c r="AD120" s="167" t="str">
        <f t="shared" si="114"/>
        <v/>
      </c>
      <c r="AE120" s="168" t="str">
        <f t="shared" si="5"/>
        <v/>
      </c>
      <c r="AF120" s="29"/>
    </row>
    <row r="121" ht="15.0" customHeight="1">
      <c r="A121" s="65">
        <v>111.0</v>
      </c>
      <c r="B121" s="92" t="str">
        <f>IF('INTERACTION-PAGE'!B113="","",'INTERACTION-PAGE'!B113)</f>
        <v/>
      </c>
      <c r="C121" s="92" t="str">
        <f>IF('INTERACTION-PAGE'!C113="","",'INTERACTION-PAGE'!C113)</f>
        <v/>
      </c>
      <c r="D121" s="92" t="str">
        <f>IF('INTERACTION-PAGE'!D113="","",'INTERACTION-PAGE'!D113)</f>
        <v/>
      </c>
      <c r="E121" s="92" t="str">
        <f>IF('INTERACTION-PAGE'!E113="","",'INTERACTION-PAGE'!E113)</f>
        <v/>
      </c>
      <c r="F121" s="92" t="str">
        <f>IF('INTERACTION-PAGE'!F113="","",'INTERACTION-PAGE'!F113)</f>
        <v/>
      </c>
      <c r="G121" s="92" t="str">
        <f>IF('INTERACTION-PAGE'!G113="","",'INTERACTION-PAGE'!G113)</f>
        <v/>
      </c>
      <c r="H121" s="92" t="str">
        <f>IF('INTERACTION-PAGE'!H113="","",'INTERACTION-PAGE'!H113)</f>
        <v/>
      </c>
      <c r="I121" s="92" t="str">
        <f>IF('INTERACTION-PAGE'!I113="","",'INTERACTION-PAGE'!I113)</f>
        <v/>
      </c>
      <c r="J121" s="92" t="str">
        <f>IF('INTERACTION-PAGE'!J113="","",'INTERACTION-PAGE'!J113)</f>
        <v/>
      </c>
      <c r="K121" s="92" t="str">
        <f>IF('INTERACTION-PAGE'!K113="","",'INTERACTION-PAGE'!K113)</f>
        <v/>
      </c>
      <c r="L121" s="92" t="str">
        <f>IF('INTERACTION-PAGE'!L113="","",'INTERACTION-PAGE'!L113)</f>
        <v/>
      </c>
      <c r="M121" s="92" t="str">
        <f>IF('INTERACTION-PAGE'!M113="","",'INTERACTION-PAGE'!M113)</f>
        <v/>
      </c>
      <c r="N121" s="92" t="str">
        <f>IF('INTERACTION-PAGE'!N113="","",'INTERACTION-PAGE'!N113)</f>
        <v/>
      </c>
      <c r="O121" s="92" t="str">
        <f>IF('INTERACTION-PAGE'!O113="","",'INTERACTION-PAGE'!O113)</f>
        <v/>
      </c>
      <c r="P121" s="92" t="str">
        <f>IF('INTERACTION-PAGE'!P113="","",'INTERACTION-PAGE'!P113)</f>
        <v/>
      </c>
      <c r="Q121" s="92" t="str">
        <f>IF('INTERACTION-PAGE'!Q113="","",'INTERACTION-PAGE'!Q113)</f>
        <v/>
      </c>
      <c r="R121" s="92" t="str">
        <f>IF('INTERACTION-PAGE'!R113="","",'INTERACTION-PAGE'!R113)</f>
        <v/>
      </c>
      <c r="S121" s="92" t="str">
        <f>IF('INTERACTION-PAGE'!S113="","",'INTERACTION-PAGE'!S113)</f>
        <v/>
      </c>
      <c r="T121" s="92" t="str">
        <f>IF('INTERACTION-PAGE'!T113="","",'INTERACTION-PAGE'!T113)</f>
        <v/>
      </c>
      <c r="U121" s="92" t="str">
        <f>IF('INTERACTION-PAGE'!U113="","",'INTERACTION-PAGE'!U113)</f>
        <v/>
      </c>
      <c r="V121" s="92" t="str">
        <f>IF('INTERACTION-PAGE'!V113="","",'INTERACTION-PAGE'!V113)</f>
        <v/>
      </c>
      <c r="W121" s="92" t="str">
        <f>IF('INTERACTION-PAGE'!W113="","",'INTERACTION-PAGE'!W113)</f>
        <v/>
      </c>
      <c r="X121" s="92" t="str">
        <f>IF('INTERACTION-PAGE'!X113="","",'INTERACTION-PAGE'!X113)</f>
        <v/>
      </c>
      <c r="Y121" s="167" t="str">
        <f t="shared" si="6"/>
        <v/>
      </c>
      <c r="Z121" s="167" t="str">
        <f t="shared" ref="Z121:AD121" si="115">IF(OR( $B121="", $B121="AB", $B121="UR", $C121="", $C121="AB", $C121="UR", $D121="AB", $D121="UR"),"",(IF(OR(E$10&gt;0,J$10&gt;0,O$10&gt;0,T$10&gt;0),(Z$10*(IF(AND(E$10&gt;0), IF(OR(E121="", E121="AB",E121="UR"),0,E121),0) +IF(AND(J$10&gt;0), IF(OR(J121="",J121="AB",J121=""),0,J121),0)+IF(AND(O$10&gt;0), IF(OR(O121="", O121="AB",O121="UR"),0,O121),0)+IF(AND(T$10&gt;0), IF(OR(T121="",T121="AB",T121="UR"),0,T121),0))/(E$10+J$10+O$10+T$10))," ")))</f>
        <v/>
      </c>
      <c r="AA121" s="167" t="str">
        <f t="shared" si="115"/>
        <v/>
      </c>
      <c r="AB121" s="167" t="str">
        <f t="shared" si="115"/>
        <v/>
      </c>
      <c r="AC121" s="167" t="str">
        <f t="shared" si="115"/>
        <v/>
      </c>
      <c r="AD121" s="167" t="str">
        <f t="shared" si="115"/>
        <v/>
      </c>
      <c r="AE121" s="168" t="str">
        <f t="shared" si="5"/>
        <v/>
      </c>
      <c r="AF121" s="29"/>
    </row>
    <row r="122" ht="15.0" customHeight="1">
      <c r="A122" s="79">
        <v>112.0</v>
      </c>
      <c r="B122" s="92" t="str">
        <f>IF('INTERACTION-PAGE'!B114="","",'INTERACTION-PAGE'!B114)</f>
        <v/>
      </c>
      <c r="C122" s="92" t="str">
        <f>IF('INTERACTION-PAGE'!C114="","",'INTERACTION-PAGE'!C114)</f>
        <v/>
      </c>
      <c r="D122" s="92" t="str">
        <f>IF('INTERACTION-PAGE'!D114="","",'INTERACTION-PAGE'!D114)</f>
        <v/>
      </c>
      <c r="E122" s="92" t="str">
        <f>IF('INTERACTION-PAGE'!E114="","",'INTERACTION-PAGE'!E114)</f>
        <v/>
      </c>
      <c r="F122" s="92" t="str">
        <f>IF('INTERACTION-PAGE'!F114="","",'INTERACTION-PAGE'!F114)</f>
        <v/>
      </c>
      <c r="G122" s="92" t="str">
        <f>IF('INTERACTION-PAGE'!G114="","",'INTERACTION-PAGE'!G114)</f>
        <v/>
      </c>
      <c r="H122" s="92" t="str">
        <f>IF('INTERACTION-PAGE'!H114="","",'INTERACTION-PAGE'!H114)</f>
        <v/>
      </c>
      <c r="I122" s="92" t="str">
        <f>IF('INTERACTION-PAGE'!I114="","",'INTERACTION-PAGE'!I114)</f>
        <v/>
      </c>
      <c r="J122" s="92" t="str">
        <f>IF('INTERACTION-PAGE'!J114="","",'INTERACTION-PAGE'!J114)</f>
        <v/>
      </c>
      <c r="K122" s="92" t="str">
        <f>IF('INTERACTION-PAGE'!K114="","",'INTERACTION-PAGE'!K114)</f>
        <v/>
      </c>
      <c r="L122" s="92" t="str">
        <f>IF('INTERACTION-PAGE'!L114="","",'INTERACTION-PAGE'!L114)</f>
        <v/>
      </c>
      <c r="M122" s="92" t="str">
        <f>IF('INTERACTION-PAGE'!M114="","",'INTERACTION-PAGE'!M114)</f>
        <v/>
      </c>
      <c r="N122" s="92" t="str">
        <f>IF('INTERACTION-PAGE'!N114="","",'INTERACTION-PAGE'!N114)</f>
        <v/>
      </c>
      <c r="O122" s="92" t="str">
        <f>IF('INTERACTION-PAGE'!O114="","",'INTERACTION-PAGE'!O114)</f>
        <v/>
      </c>
      <c r="P122" s="92" t="str">
        <f>IF('INTERACTION-PAGE'!P114="","",'INTERACTION-PAGE'!P114)</f>
        <v/>
      </c>
      <c r="Q122" s="92" t="str">
        <f>IF('INTERACTION-PAGE'!Q114="","",'INTERACTION-PAGE'!Q114)</f>
        <v/>
      </c>
      <c r="R122" s="92" t="str">
        <f>IF('INTERACTION-PAGE'!R114="","",'INTERACTION-PAGE'!R114)</f>
        <v/>
      </c>
      <c r="S122" s="92" t="str">
        <f>IF('INTERACTION-PAGE'!S114="","",'INTERACTION-PAGE'!S114)</f>
        <v/>
      </c>
      <c r="T122" s="92" t="str">
        <f>IF('INTERACTION-PAGE'!T114="","",'INTERACTION-PAGE'!T114)</f>
        <v/>
      </c>
      <c r="U122" s="92" t="str">
        <f>IF('INTERACTION-PAGE'!U114="","",'INTERACTION-PAGE'!U114)</f>
        <v/>
      </c>
      <c r="V122" s="92" t="str">
        <f>IF('INTERACTION-PAGE'!V114="","",'INTERACTION-PAGE'!V114)</f>
        <v/>
      </c>
      <c r="W122" s="92" t="str">
        <f>IF('INTERACTION-PAGE'!W114="","",'INTERACTION-PAGE'!W114)</f>
        <v/>
      </c>
      <c r="X122" s="92" t="str">
        <f>IF('INTERACTION-PAGE'!X114="","",'INTERACTION-PAGE'!X114)</f>
        <v/>
      </c>
      <c r="Y122" s="167" t="str">
        <f t="shared" si="6"/>
        <v/>
      </c>
      <c r="Z122" s="167" t="str">
        <f t="shared" ref="Z122:AD122" si="116">IF(OR( $B122="", $B122="AB", $B122="UR", $C122="", $C122="AB", $C122="UR", $D122="AB", $D122="UR"),"",(IF(OR(E$10&gt;0,J$10&gt;0,O$10&gt;0,T$10&gt;0),(Z$10*(IF(AND(E$10&gt;0), IF(OR(E122="", E122="AB",E122="UR"),0,E122),0) +IF(AND(J$10&gt;0), IF(OR(J122="",J122="AB",J122=""),0,J122),0)+IF(AND(O$10&gt;0), IF(OR(O122="", O122="AB",O122="UR"),0,O122),0)+IF(AND(T$10&gt;0), IF(OR(T122="",T122="AB",T122="UR"),0,T122),0))/(E$10+J$10+O$10+T$10))," ")))</f>
        <v/>
      </c>
      <c r="AA122" s="167" t="str">
        <f t="shared" si="116"/>
        <v/>
      </c>
      <c r="AB122" s="167" t="str">
        <f t="shared" si="116"/>
        <v/>
      </c>
      <c r="AC122" s="167" t="str">
        <f t="shared" si="116"/>
        <v/>
      </c>
      <c r="AD122" s="167" t="str">
        <f t="shared" si="116"/>
        <v/>
      </c>
      <c r="AE122" s="168" t="str">
        <f t="shared" si="5"/>
        <v/>
      </c>
      <c r="AF122" s="29"/>
    </row>
    <row r="123" ht="15.0" customHeight="1">
      <c r="A123" s="65">
        <v>113.0</v>
      </c>
      <c r="B123" s="92" t="str">
        <f>IF('INTERACTION-PAGE'!B115="","",'INTERACTION-PAGE'!B115)</f>
        <v/>
      </c>
      <c r="C123" s="92" t="str">
        <f>IF('INTERACTION-PAGE'!C115="","",'INTERACTION-PAGE'!C115)</f>
        <v/>
      </c>
      <c r="D123" s="92" t="str">
        <f>IF('INTERACTION-PAGE'!D115="","",'INTERACTION-PAGE'!D115)</f>
        <v/>
      </c>
      <c r="E123" s="92" t="str">
        <f>IF('INTERACTION-PAGE'!E115="","",'INTERACTION-PAGE'!E115)</f>
        <v/>
      </c>
      <c r="F123" s="92" t="str">
        <f>IF('INTERACTION-PAGE'!F115="","",'INTERACTION-PAGE'!F115)</f>
        <v/>
      </c>
      <c r="G123" s="92" t="str">
        <f>IF('INTERACTION-PAGE'!G115="","",'INTERACTION-PAGE'!G115)</f>
        <v/>
      </c>
      <c r="H123" s="92" t="str">
        <f>IF('INTERACTION-PAGE'!H115="","",'INTERACTION-PAGE'!H115)</f>
        <v/>
      </c>
      <c r="I123" s="92" t="str">
        <f>IF('INTERACTION-PAGE'!I115="","",'INTERACTION-PAGE'!I115)</f>
        <v/>
      </c>
      <c r="J123" s="92" t="str">
        <f>IF('INTERACTION-PAGE'!J115="","",'INTERACTION-PAGE'!J115)</f>
        <v/>
      </c>
      <c r="K123" s="92" t="str">
        <f>IF('INTERACTION-PAGE'!K115="","",'INTERACTION-PAGE'!K115)</f>
        <v/>
      </c>
      <c r="L123" s="92" t="str">
        <f>IF('INTERACTION-PAGE'!L115="","",'INTERACTION-PAGE'!L115)</f>
        <v/>
      </c>
      <c r="M123" s="92" t="str">
        <f>IF('INTERACTION-PAGE'!M115="","",'INTERACTION-PAGE'!M115)</f>
        <v/>
      </c>
      <c r="N123" s="92" t="str">
        <f>IF('INTERACTION-PAGE'!N115="","",'INTERACTION-PAGE'!N115)</f>
        <v/>
      </c>
      <c r="O123" s="92" t="str">
        <f>IF('INTERACTION-PAGE'!O115="","",'INTERACTION-PAGE'!O115)</f>
        <v/>
      </c>
      <c r="P123" s="92" t="str">
        <f>IF('INTERACTION-PAGE'!P115="","",'INTERACTION-PAGE'!P115)</f>
        <v/>
      </c>
      <c r="Q123" s="92" t="str">
        <f>IF('INTERACTION-PAGE'!Q115="","",'INTERACTION-PAGE'!Q115)</f>
        <v/>
      </c>
      <c r="R123" s="92" t="str">
        <f>IF('INTERACTION-PAGE'!R115="","",'INTERACTION-PAGE'!R115)</f>
        <v/>
      </c>
      <c r="S123" s="92" t="str">
        <f>IF('INTERACTION-PAGE'!S115="","",'INTERACTION-PAGE'!S115)</f>
        <v/>
      </c>
      <c r="T123" s="92" t="str">
        <f>IF('INTERACTION-PAGE'!T115="","",'INTERACTION-PAGE'!T115)</f>
        <v/>
      </c>
      <c r="U123" s="92" t="str">
        <f>IF('INTERACTION-PAGE'!U115="","",'INTERACTION-PAGE'!U115)</f>
        <v/>
      </c>
      <c r="V123" s="92" t="str">
        <f>IF('INTERACTION-PAGE'!V115="","",'INTERACTION-PAGE'!V115)</f>
        <v/>
      </c>
      <c r="W123" s="92" t="str">
        <f>IF('INTERACTION-PAGE'!W115="","",'INTERACTION-PAGE'!W115)</f>
        <v/>
      </c>
      <c r="X123" s="92" t="str">
        <f>IF('INTERACTION-PAGE'!X115="","",'INTERACTION-PAGE'!X115)</f>
        <v/>
      </c>
      <c r="Y123" s="167" t="str">
        <f t="shared" si="6"/>
        <v/>
      </c>
      <c r="Z123" s="167" t="str">
        <f t="shared" ref="Z123:AD123" si="117">IF(OR( $B123="", $B123="AB", $B123="UR", $C123="", $C123="AB", $C123="UR", $D123="AB", $D123="UR"),"",(IF(OR(E$10&gt;0,J$10&gt;0,O$10&gt;0,T$10&gt;0),(Z$10*(IF(AND(E$10&gt;0), IF(OR(E123="", E123="AB",E123="UR"),0,E123),0) +IF(AND(J$10&gt;0), IF(OR(J123="",J123="AB",J123=""),0,J123),0)+IF(AND(O$10&gt;0), IF(OR(O123="", O123="AB",O123="UR"),0,O123),0)+IF(AND(T$10&gt;0), IF(OR(T123="",T123="AB",T123="UR"),0,T123),0))/(E$10+J$10+O$10+T$10))," ")))</f>
        <v/>
      </c>
      <c r="AA123" s="167" t="str">
        <f t="shared" si="117"/>
        <v/>
      </c>
      <c r="AB123" s="167" t="str">
        <f t="shared" si="117"/>
        <v/>
      </c>
      <c r="AC123" s="167" t="str">
        <f t="shared" si="117"/>
        <v/>
      </c>
      <c r="AD123" s="167" t="str">
        <f t="shared" si="117"/>
        <v/>
      </c>
      <c r="AE123" s="168" t="str">
        <f t="shared" si="5"/>
        <v/>
      </c>
      <c r="AF123" s="29"/>
    </row>
    <row r="124" ht="15.0" customHeight="1">
      <c r="A124" s="79">
        <v>114.0</v>
      </c>
      <c r="B124" s="92" t="str">
        <f>IF('INTERACTION-PAGE'!B116="","",'INTERACTION-PAGE'!B116)</f>
        <v/>
      </c>
      <c r="C124" s="92" t="str">
        <f>IF('INTERACTION-PAGE'!C116="","",'INTERACTION-PAGE'!C116)</f>
        <v/>
      </c>
      <c r="D124" s="92" t="str">
        <f>IF('INTERACTION-PAGE'!D116="","",'INTERACTION-PAGE'!D116)</f>
        <v/>
      </c>
      <c r="E124" s="92" t="str">
        <f>IF('INTERACTION-PAGE'!E116="","",'INTERACTION-PAGE'!E116)</f>
        <v/>
      </c>
      <c r="F124" s="92" t="str">
        <f>IF('INTERACTION-PAGE'!F116="","",'INTERACTION-PAGE'!F116)</f>
        <v/>
      </c>
      <c r="G124" s="92" t="str">
        <f>IF('INTERACTION-PAGE'!G116="","",'INTERACTION-PAGE'!G116)</f>
        <v/>
      </c>
      <c r="H124" s="92" t="str">
        <f>IF('INTERACTION-PAGE'!H116="","",'INTERACTION-PAGE'!H116)</f>
        <v/>
      </c>
      <c r="I124" s="92" t="str">
        <f>IF('INTERACTION-PAGE'!I116="","",'INTERACTION-PAGE'!I116)</f>
        <v/>
      </c>
      <c r="J124" s="92" t="str">
        <f>IF('INTERACTION-PAGE'!J116="","",'INTERACTION-PAGE'!J116)</f>
        <v/>
      </c>
      <c r="K124" s="92" t="str">
        <f>IF('INTERACTION-PAGE'!K116="","",'INTERACTION-PAGE'!K116)</f>
        <v/>
      </c>
      <c r="L124" s="92" t="str">
        <f>IF('INTERACTION-PAGE'!L116="","",'INTERACTION-PAGE'!L116)</f>
        <v/>
      </c>
      <c r="M124" s="92" t="str">
        <f>IF('INTERACTION-PAGE'!M116="","",'INTERACTION-PAGE'!M116)</f>
        <v/>
      </c>
      <c r="N124" s="92" t="str">
        <f>IF('INTERACTION-PAGE'!N116="","",'INTERACTION-PAGE'!N116)</f>
        <v/>
      </c>
      <c r="O124" s="92" t="str">
        <f>IF('INTERACTION-PAGE'!O116="","",'INTERACTION-PAGE'!O116)</f>
        <v/>
      </c>
      <c r="P124" s="92" t="str">
        <f>IF('INTERACTION-PAGE'!P116="","",'INTERACTION-PAGE'!P116)</f>
        <v/>
      </c>
      <c r="Q124" s="92" t="str">
        <f>IF('INTERACTION-PAGE'!Q116="","",'INTERACTION-PAGE'!Q116)</f>
        <v/>
      </c>
      <c r="R124" s="92" t="str">
        <f>IF('INTERACTION-PAGE'!R116="","",'INTERACTION-PAGE'!R116)</f>
        <v/>
      </c>
      <c r="S124" s="92" t="str">
        <f>IF('INTERACTION-PAGE'!S116="","",'INTERACTION-PAGE'!S116)</f>
        <v/>
      </c>
      <c r="T124" s="92" t="str">
        <f>IF('INTERACTION-PAGE'!T116="","",'INTERACTION-PAGE'!T116)</f>
        <v/>
      </c>
      <c r="U124" s="92" t="str">
        <f>IF('INTERACTION-PAGE'!U116="","",'INTERACTION-PAGE'!U116)</f>
        <v/>
      </c>
      <c r="V124" s="92" t="str">
        <f>IF('INTERACTION-PAGE'!V116="","",'INTERACTION-PAGE'!V116)</f>
        <v/>
      </c>
      <c r="W124" s="92" t="str">
        <f>IF('INTERACTION-PAGE'!W116="","",'INTERACTION-PAGE'!W116)</f>
        <v/>
      </c>
      <c r="X124" s="92" t="str">
        <f>IF('INTERACTION-PAGE'!X116="","",'INTERACTION-PAGE'!X116)</f>
        <v/>
      </c>
      <c r="Y124" s="167" t="str">
        <f t="shared" si="6"/>
        <v/>
      </c>
      <c r="Z124" s="167" t="str">
        <f t="shared" ref="Z124:AD124" si="118">IF(OR( $B124="", $B124="AB", $B124="UR", $C124="", $C124="AB", $C124="UR", $D124="AB", $D124="UR"),"",(IF(OR(E$10&gt;0,J$10&gt;0,O$10&gt;0,T$10&gt;0),(Z$10*(IF(AND(E$10&gt;0), IF(OR(E124="", E124="AB",E124="UR"),0,E124),0) +IF(AND(J$10&gt;0), IF(OR(J124="",J124="AB",J124=""),0,J124),0)+IF(AND(O$10&gt;0), IF(OR(O124="", O124="AB",O124="UR"),0,O124),0)+IF(AND(T$10&gt;0), IF(OR(T124="",T124="AB",T124="UR"),0,T124),0))/(E$10+J$10+O$10+T$10))," ")))</f>
        <v/>
      </c>
      <c r="AA124" s="167" t="str">
        <f t="shared" si="118"/>
        <v/>
      </c>
      <c r="AB124" s="167" t="str">
        <f t="shared" si="118"/>
        <v/>
      </c>
      <c r="AC124" s="167" t="str">
        <f t="shared" si="118"/>
        <v/>
      </c>
      <c r="AD124" s="167" t="str">
        <f t="shared" si="118"/>
        <v/>
      </c>
      <c r="AE124" s="168" t="str">
        <f t="shared" si="5"/>
        <v/>
      </c>
      <c r="AF124" s="29"/>
    </row>
    <row r="125" ht="15.0" customHeight="1">
      <c r="A125" s="65">
        <v>115.0</v>
      </c>
      <c r="B125" s="92" t="str">
        <f>IF('INTERACTION-PAGE'!B117="","",'INTERACTION-PAGE'!B117)</f>
        <v/>
      </c>
      <c r="C125" s="92" t="str">
        <f>IF('INTERACTION-PAGE'!C117="","",'INTERACTION-PAGE'!C117)</f>
        <v/>
      </c>
      <c r="D125" s="92" t="str">
        <f>IF('INTERACTION-PAGE'!D117="","",'INTERACTION-PAGE'!D117)</f>
        <v/>
      </c>
      <c r="E125" s="92" t="str">
        <f>IF('INTERACTION-PAGE'!E117="","",'INTERACTION-PAGE'!E117)</f>
        <v/>
      </c>
      <c r="F125" s="92" t="str">
        <f>IF('INTERACTION-PAGE'!F117="","",'INTERACTION-PAGE'!F117)</f>
        <v/>
      </c>
      <c r="G125" s="92" t="str">
        <f>IF('INTERACTION-PAGE'!G117="","",'INTERACTION-PAGE'!G117)</f>
        <v/>
      </c>
      <c r="H125" s="92" t="str">
        <f>IF('INTERACTION-PAGE'!H117="","",'INTERACTION-PAGE'!H117)</f>
        <v/>
      </c>
      <c r="I125" s="92" t="str">
        <f>IF('INTERACTION-PAGE'!I117="","",'INTERACTION-PAGE'!I117)</f>
        <v/>
      </c>
      <c r="J125" s="92" t="str">
        <f>IF('INTERACTION-PAGE'!J117="","",'INTERACTION-PAGE'!J117)</f>
        <v/>
      </c>
      <c r="K125" s="92" t="str">
        <f>IF('INTERACTION-PAGE'!K117="","",'INTERACTION-PAGE'!K117)</f>
        <v/>
      </c>
      <c r="L125" s="92" t="str">
        <f>IF('INTERACTION-PAGE'!L117="","",'INTERACTION-PAGE'!L117)</f>
        <v/>
      </c>
      <c r="M125" s="92" t="str">
        <f>IF('INTERACTION-PAGE'!M117="","",'INTERACTION-PAGE'!M117)</f>
        <v/>
      </c>
      <c r="N125" s="92" t="str">
        <f>IF('INTERACTION-PAGE'!N117="","",'INTERACTION-PAGE'!N117)</f>
        <v/>
      </c>
      <c r="O125" s="92" t="str">
        <f>IF('INTERACTION-PAGE'!O117="","",'INTERACTION-PAGE'!O117)</f>
        <v/>
      </c>
      <c r="P125" s="92" t="str">
        <f>IF('INTERACTION-PAGE'!P117="","",'INTERACTION-PAGE'!P117)</f>
        <v/>
      </c>
      <c r="Q125" s="92" t="str">
        <f>IF('INTERACTION-PAGE'!Q117="","",'INTERACTION-PAGE'!Q117)</f>
        <v/>
      </c>
      <c r="R125" s="92" t="str">
        <f>IF('INTERACTION-PAGE'!R117="","",'INTERACTION-PAGE'!R117)</f>
        <v/>
      </c>
      <c r="S125" s="92" t="str">
        <f>IF('INTERACTION-PAGE'!S117="","",'INTERACTION-PAGE'!S117)</f>
        <v/>
      </c>
      <c r="T125" s="92" t="str">
        <f>IF('INTERACTION-PAGE'!T117="","",'INTERACTION-PAGE'!T117)</f>
        <v/>
      </c>
      <c r="U125" s="92" t="str">
        <f>IF('INTERACTION-PAGE'!U117="","",'INTERACTION-PAGE'!U117)</f>
        <v/>
      </c>
      <c r="V125" s="92" t="str">
        <f>IF('INTERACTION-PAGE'!V117="","",'INTERACTION-PAGE'!V117)</f>
        <v/>
      </c>
      <c r="W125" s="92" t="str">
        <f>IF('INTERACTION-PAGE'!W117="","",'INTERACTION-PAGE'!W117)</f>
        <v/>
      </c>
      <c r="X125" s="92" t="str">
        <f>IF('INTERACTION-PAGE'!X117="","",'INTERACTION-PAGE'!X117)</f>
        <v/>
      </c>
      <c r="Y125" s="167" t="str">
        <f t="shared" si="6"/>
        <v/>
      </c>
      <c r="Z125" s="167" t="str">
        <f t="shared" ref="Z125:AD125" si="119">IF(OR( $B125="", $B125="AB", $B125="UR", $C125="", $C125="AB", $C125="UR", $D125="AB", $D125="UR"),"",(IF(OR(E$10&gt;0,J$10&gt;0,O$10&gt;0,T$10&gt;0),(Z$10*(IF(AND(E$10&gt;0), IF(OR(E125="", E125="AB",E125="UR"),0,E125),0) +IF(AND(J$10&gt;0), IF(OR(J125="",J125="AB",J125=""),0,J125),0)+IF(AND(O$10&gt;0), IF(OR(O125="", O125="AB",O125="UR"),0,O125),0)+IF(AND(T$10&gt;0), IF(OR(T125="",T125="AB",T125="UR"),0,T125),0))/(E$10+J$10+O$10+T$10))," ")))</f>
        <v/>
      </c>
      <c r="AA125" s="167" t="str">
        <f t="shared" si="119"/>
        <v/>
      </c>
      <c r="AB125" s="167" t="str">
        <f t="shared" si="119"/>
        <v/>
      </c>
      <c r="AC125" s="167" t="str">
        <f t="shared" si="119"/>
        <v/>
      </c>
      <c r="AD125" s="167" t="str">
        <f t="shared" si="119"/>
        <v/>
      </c>
      <c r="AE125" s="168" t="str">
        <f t="shared" si="5"/>
        <v/>
      </c>
      <c r="AF125" s="29"/>
    </row>
    <row r="126" ht="15.0" customHeight="1">
      <c r="A126" s="79">
        <v>116.0</v>
      </c>
      <c r="B126" s="92" t="str">
        <f>IF('INTERACTION-PAGE'!B118="","",'INTERACTION-PAGE'!B118)</f>
        <v/>
      </c>
      <c r="C126" s="92" t="str">
        <f>IF('INTERACTION-PAGE'!C118="","",'INTERACTION-PAGE'!C118)</f>
        <v/>
      </c>
      <c r="D126" s="92" t="str">
        <f>IF('INTERACTION-PAGE'!D118="","",'INTERACTION-PAGE'!D118)</f>
        <v/>
      </c>
      <c r="E126" s="92" t="str">
        <f>IF('INTERACTION-PAGE'!E118="","",'INTERACTION-PAGE'!E118)</f>
        <v/>
      </c>
      <c r="F126" s="92" t="str">
        <f>IF('INTERACTION-PAGE'!F118="","",'INTERACTION-PAGE'!F118)</f>
        <v/>
      </c>
      <c r="G126" s="92" t="str">
        <f>IF('INTERACTION-PAGE'!G118="","",'INTERACTION-PAGE'!G118)</f>
        <v/>
      </c>
      <c r="H126" s="92" t="str">
        <f>IF('INTERACTION-PAGE'!H118="","",'INTERACTION-PAGE'!H118)</f>
        <v/>
      </c>
      <c r="I126" s="92" t="str">
        <f>IF('INTERACTION-PAGE'!I118="","",'INTERACTION-PAGE'!I118)</f>
        <v/>
      </c>
      <c r="J126" s="92" t="str">
        <f>IF('INTERACTION-PAGE'!J118="","",'INTERACTION-PAGE'!J118)</f>
        <v/>
      </c>
      <c r="K126" s="92" t="str">
        <f>IF('INTERACTION-PAGE'!K118="","",'INTERACTION-PAGE'!K118)</f>
        <v/>
      </c>
      <c r="L126" s="92" t="str">
        <f>IF('INTERACTION-PAGE'!L118="","",'INTERACTION-PAGE'!L118)</f>
        <v/>
      </c>
      <c r="M126" s="92" t="str">
        <f>IF('INTERACTION-PAGE'!M118="","",'INTERACTION-PAGE'!M118)</f>
        <v/>
      </c>
      <c r="N126" s="92" t="str">
        <f>IF('INTERACTION-PAGE'!N118="","",'INTERACTION-PAGE'!N118)</f>
        <v/>
      </c>
      <c r="O126" s="92" t="str">
        <f>IF('INTERACTION-PAGE'!O118="","",'INTERACTION-PAGE'!O118)</f>
        <v/>
      </c>
      <c r="P126" s="92" t="str">
        <f>IF('INTERACTION-PAGE'!P118="","",'INTERACTION-PAGE'!P118)</f>
        <v/>
      </c>
      <c r="Q126" s="92" t="str">
        <f>IF('INTERACTION-PAGE'!Q118="","",'INTERACTION-PAGE'!Q118)</f>
        <v/>
      </c>
      <c r="R126" s="92" t="str">
        <f>IF('INTERACTION-PAGE'!R118="","",'INTERACTION-PAGE'!R118)</f>
        <v/>
      </c>
      <c r="S126" s="92" t="str">
        <f>IF('INTERACTION-PAGE'!S118="","",'INTERACTION-PAGE'!S118)</f>
        <v/>
      </c>
      <c r="T126" s="92" t="str">
        <f>IF('INTERACTION-PAGE'!T118="","",'INTERACTION-PAGE'!T118)</f>
        <v/>
      </c>
      <c r="U126" s="92" t="str">
        <f>IF('INTERACTION-PAGE'!U118="","",'INTERACTION-PAGE'!U118)</f>
        <v/>
      </c>
      <c r="V126" s="92" t="str">
        <f>IF('INTERACTION-PAGE'!V118="","",'INTERACTION-PAGE'!V118)</f>
        <v/>
      </c>
      <c r="W126" s="92" t="str">
        <f>IF('INTERACTION-PAGE'!W118="","",'INTERACTION-PAGE'!W118)</f>
        <v/>
      </c>
      <c r="X126" s="92" t="str">
        <f>IF('INTERACTION-PAGE'!X118="","",'INTERACTION-PAGE'!X118)</f>
        <v/>
      </c>
      <c r="Y126" s="167" t="str">
        <f t="shared" si="6"/>
        <v/>
      </c>
      <c r="Z126" s="167" t="str">
        <f t="shared" ref="Z126:AD126" si="120">IF(OR( $B126="", $B126="AB", $B126="UR", $C126="", $C126="AB", $C126="UR", $D126="AB", $D126="UR"),"",(IF(OR(E$10&gt;0,J$10&gt;0,O$10&gt;0,T$10&gt;0),(Z$10*(IF(AND(E$10&gt;0), IF(OR(E126="", E126="AB",E126="UR"),0,E126),0) +IF(AND(J$10&gt;0), IF(OR(J126="",J126="AB",J126=""),0,J126),0)+IF(AND(O$10&gt;0), IF(OR(O126="", O126="AB",O126="UR"),0,O126),0)+IF(AND(T$10&gt;0), IF(OR(T126="",T126="AB",T126="UR"),0,T126),0))/(E$10+J$10+O$10+T$10))," ")))</f>
        <v/>
      </c>
      <c r="AA126" s="167" t="str">
        <f t="shared" si="120"/>
        <v/>
      </c>
      <c r="AB126" s="167" t="str">
        <f t="shared" si="120"/>
        <v/>
      </c>
      <c r="AC126" s="167" t="str">
        <f t="shared" si="120"/>
        <v/>
      </c>
      <c r="AD126" s="167" t="str">
        <f t="shared" si="120"/>
        <v/>
      </c>
      <c r="AE126" s="168"/>
      <c r="AF126" s="29"/>
    </row>
    <row r="127" ht="15.0" customHeight="1">
      <c r="A127" s="65">
        <v>117.0</v>
      </c>
      <c r="B127" s="92" t="str">
        <f>IF('INTERACTION-PAGE'!B119="","",'INTERACTION-PAGE'!B119)</f>
        <v/>
      </c>
      <c r="C127" s="92" t="str">
        <f>IF('INTERACTION-PAGE'!C119="","",'INTERACTION-PAGE'!C119)</f>
        <v/>
      </c>
      <c r="D127" s="92" t="str">
        <f>IF('INTERACTION-PAGE'!D119="","",'INTERACTION-PAGE'!D119)</f>
        <v/>
      </c>
      <c r="E127" s="92" t="str">
        <f>IF('INTERACTION-PAGE'!E119="","",'INTERACTION-PAGE'!E119)</f>
        <v/>
      </c>
      <c r="F127" s="92" t="str">
        <f>IF('INTERACTION-PAGE'!F119="","",'INTERACTION-PAGE'!F119)</f>
        <v/>
      </c>
      <c r="G127" s="92" t="str">
        <f>IF('INTERACTION-PAGE'!G119="","",'INTERACTION-PAGE'!G119)</f>
        <v/>
      </c>
      <c r="H127" s="92" t="str">
        <f>IF('INTERACTION-PAGE'!H119="","",'INTERACTION-PAGE'!H119)</f>
        <v/>
      </c>
      <c r="I127" s="92" t="str">
        <f>IF('INTERACTION-PAGE'!I119="","",'INTERACTION-PAGE'!I119)</f>
        <v/>
      </c>
      <c r="J127" s="92" t="str">
        <f>IF('INTERACTION-PAGE'!J119="","",'INTERACTION-PAGE'!J119)</f>
        <v/>
      </c>
      <c r="K127" s="92" t="str">
        <f>IF('INTERACTION-PAGE'!K119="","",'INTERACTION-PAGE'!K119)</f>
        <v/>
      </c>
      <c r="L127" s="92" t="str">
        <f>IF('INTERACTION-PAGE'!L119="","",'INTERACTION-PAGE'!L119)</f>
        <v/>
      </c>
      <c r="M127" s="92" t="str">
        <f>IF('INTERACTION-PAGE'!M119="","",'INTERACTION-PAGE'!M119)</f>
        <v/>
      </c>
      <c r="N127" s="92" t="str">
        <f>IF('INTERACTION-PAGE'!N119="","",'INTERACTION-PAGE'!N119)</f>
        <v/>
      </c>
      <c r="O127" s="92" t="str">
        <f>IF('INTERACTION-PAGE'!O119="","",'INTERACTION-PAGE'!O119)</f>
        <v/>
      </c>
      <c r="P127" s="92" t="str">
        <f>IF('INTERACTION-PAGE'!P119="","",'INTERACTION-PAGE'!P119)</f>
        <v/>
      </c>
      <c r="Q127" s="92" t="str">
        <f>IF('INTERACTION-PAGE'!Q119="","",'INTERACTION-PAGE'!Q119)</f>
        <v/>
      </c>
      <c r="R127" s="92" t="str">
        <f>IF('INTERACTION-PAGE'!R119="","",'INTERACTION-PAGE'!R119)</f>
        <v/>
      </c>
      <c r="S127" s="92" t="str">
        <f>IF('INTERACTION-PAGE'!S119="","",'INTERACTION-PAGE'!S119)</f>
        <v/>
      </c>
      <c r="T127" s="92" t="str">
        <f>IF('INTERACTION-PAGE'!T119="","",'INTERACTION-PAGE'!T119)</f>
        <v/>
      </c>
      <c r="U127" s="92" t="str">
        <f>IF('INTERACTION-PAGE'!U119="","",'INTERACTION-PAGE'!U119)</f>
        <v/>
      </c>
      <c r="V127" s="92" t="str">
        <f>IF('INTERACTION-PAGE'!V119="","",'INTERACTION-PAGE'!V119)</f>
        <v/>
      </c>
      <c r="W127" s="92" t="str">
        <f>IF('INTERACTION-PAGE'!W119="","",'INTERACTION-PAGE'!W119)</f>
        <v/>
      </c>
      <c r="X127" s="92" t="str">
        <f>IF('INTERACTION-PAGE'!X119="","",'INTERACTION-PAGE'!X119)</f>
        <v/>
      </c>
      <c r="Y127" s="167" t="str">
        <f t="shared" si="6"/>
        <v/>
      </c>
      <c r="Z127" s="167" t="str">
        <f t="shared" ref="Z127:AD127" si="121">IF(OR( $B127="", $B127="AB", $B127="UR", $C127="", $C127="AB", $C127="UR", $D127="AB", $D127="UR"),"",(IF(OR(E$10&gt;0,J$10&gt;0,O$10&gt;0,T$10&gt;0),(Z$10*(IF(AND(E$10&gt;0), IF(OR(E127="", E127="AB",E127="UR"),0,E127),0) +IF(AND(J$10&gt;0), IF(OR(J127="",J127="AB",J127=""),0,J127),0)+IF(AND(O$10&gt;0), IF(OR(O127="", O127="AB",O127="UR"),0,O127),0)+IF(AND(T$10&gt;0), IF(OR(T127="",T127="AB",T127="UR"),0,T127),0))/(E$10+J$10+O$10+T$10))," ")))</f>
        <v/>
      </c>
      <c r="AA127" s="167" t="str">
        <f t="shared" si="121"/>
        <v/>
      </c>
      <c r="AB127" s="167" t="str">
        <f t="shared" si="121"/>
        <v/>
      </c>
      <c r="AC127" s="167" t="str">
        <f t="shared" si="121"/>
        <v/>
      </c>
      <c r="AD127" s="167" t="str">
        <f t="shared" si="121"/>
        <v/>
      </c>
      <c r="AE127" s="168" t="str">
        <f t="shared" ref="AE127:AE130" si="123">IF(C127="","",IFERROR(AVERAGE(Z127:AD127),""))</f>
        <v/>
      </c>
      <c r="AF127" s="29"/>
    </row>
    <row r="128" ht="15.0" customHeight="1">
      <c r="A128" s="79">
        <v>118.0</v>
      </c>
      <c r="B128" s="92" t="str">
        <f>IF('INTERACTION-PAGE'!B120="","",'INTERACTION-PAGE'!B120)</f>
        <v/>
      </c>
      <c r="C128" s="92" t="str">
        <f>IF('INTERACTION-PAGE'!C120="","",'INTERACTION-PAGE'!C120)</f>
        <v/>
      </c>
      <c r="D128" s="92" t="str">
        <f>IF('INTERACTION-PAGE'!D120="","",'INTERACTION-PAGE'!D120)</f>
        <v/>
      </c>
      <c r="E128" s="92" t="str">
        <f>IF('INTERACTION-PAGE'!E120="","",'INTERACTION-PAGE'!E120)</f>
        <v/>
      </c>
      <c r="F128" s="92" t="str">
        <f>IF('INTERACTION-PAGE'!F120="","",'INTERACTION-PAGE'!F120)</f>
        <v/>
      </c>
      <c r="G128" s="92" t="str">
        <f>IF('INTERACTION-PAGE'!G120="","",'INTERACTION-PAGE'!G120)</f>
        <v/>
      </c>
      <c r="H128" s="92" t="str">
        <f>IF('INTERACTION-PAGE'!H120="","",'INTERACTION-PAGE'!H120)</f>
        <v/>
      </c>
      <c r="I128" s="92" t="str">
        <f>IF('INTERACTION-PAGE'!I120="","",'INTERACTION-PAGE'!I120)</f>
        <v/>
      </c>
      <c r="J128" s="92" t="str">
        <f>IF('INTERACTION-PAGE'!J120="","",'INTERACTION-PAGE'!J120)</f>
        <v/>
      </c>
      <c r="K128" s="92" t="str">
        <f>IF('INTERACTION-PAGE'!K120="","",'INTERACTION-PAGE'!K120)</f>
        <v/>
      </c>
      <c r="L128" s="92" t="str">
        <f>IF('INTERACTION-PAGE'!L120="","",'INTERACTION-PAGE'!L120)</f>
        <v/>
      </c>
      <c r="M128" s="92" t="str">
        <f>IF('INTERACTION-PAGE'!M120="","",'INTERACTION-PAGE'!M120)</f>
        <v/>
      </c>
      <c r="N128" s="92" t="str">
        <f>IF('INTERACTION-PAGE'!N120="","",'INTERACTION-PAGE'!N120)</f>
        <v/>
      </c>
      <c r="O128" s="92" t="str">
        <f>IF('INTERACTION-PAGE'!O120="","",'INTERACTION-PAGE'!O120)</f>
        <v/>
      </c>
      <c r="P128" s="92" t="str">
        <f>IF('INTERACTION-PAGE'!P120="","",'INTERACTION-PAGE'!P120)</f>
        <v/>
      </c>
      <c r="Q128" s="92" t="str">
        <f>IF('INTERACTION-PAGE'!Q120="","",'INTERACTION-PAGE'!Q120)</f>
        <v/>
      </c>
      <c r="R128" s="92" t="str">
        <f>IF('INTERACTION-PAGE'!R120="","",'INTERACTION-PAGE'!R120)</f>
        <v/>
      </c>
      <c r="S128" s="92" t="str">
        <f>IF('INTERACTION-PAGE'!S120="","",'INTERACTION-PAGE'!S120)</f>
        <v/>
      </c>
      <c r="T128" s="92" t="str">
        <f>IF('INTERACTION-PAGE'!T120="","",'INTERACTION-PAGE'!T120)</f>
        <v/>
      </c>
      <c r="U128" s="92" t="str">
        <f>IF('INTERACTION-PAGE'!U120="","",'INTERACTION-PAGE'!U120)</f>
        <v/>
      </c>
      <c r="V128" s="92" t="str">
        <f>IF('INTERACTION-PAGE'!V120="","",'INTERACTION-PAGE'!V120)</f>
        <v/>
      </c>
      <c r="W128" s="92" t="str">
        <f>IF('INTERACTION-PAGE'!W120="","",'INTERACTION-PAGE'!W120)</f>
        <v/>
      </c>
      <c r="X128" s="92" t="str">
        <f>IF('INTERACTION-PAGE'!X120="","",'INTERACTION-PAGE'!X120)</f>
        <v/>
      </c>
      <c r="Y128" s="167" t="str">
        <f t="shared" si="6"/>
        <v/>
      </c>
      <c r="Z128" s="167" t="str">
        <f t="shared" ref="Z128:AD128" si="122">IF(OR( $B128="", $B128="AB", $B128="UR", $C128="", $C128="AB", $C128="UR", $D128="AB", $D128="UR"),"",(IF(OR(E$10&gt;0,J$10&gt;0,O$10&gt;0,T$10&gt;0),(Z$10*(IF(AND(E$10&gt;0), IF(OR(E128="", E128="AB",E128="UR"),0,E128),0) +IF(AND(J$10&gt;0), IF(OR(J128="",J128="AB",J128=""),0,J128),0)+IF(AND(O$10&gt;0), IF(OR(O128="", O128="AB",O128="UR"),0,O128),0)+IF(AND(T$10&gt;0), IF(OR(T128="",T128="AB",T128="UR"),0,T128),0))/(E$10+J$10+O$10+T$10))," ")))</f>
        <v/>
      </c>
      <c r="AA128" s="167" t="str">
        <f t="shared" si="122"/>
        <v/>
      </c>
      <c r="AB128" s="167" t="str">
        <f t="shared" si="122"/>
        <v/>
      </c>
      <c r="AC128" s="167" t="str">
        <f t="shared" si="122"/>
        <v/>
      </c>
      <c r="AD128" s="167" t="str">
        <f t="shared" si="122"/>
        <v/>
      </c>
      <c r="AE128" s="168" t="str">
        <f t="shared" si="123"/>
        <v/>
      </c>
      <c r="AF128" s="29"/>
    </row>
    <row r="129" ht="15.0" customHeight="1">
      <c r="A129" s="65">
        <v>119.0</v>
      </c>
      <c r="B129" s="92" t="str">
        <f>IF('INTERACTION-PAGE'!B121="","",'INTERACTION-PAGE'!B121)</f>
        <v/>
      </c>
      <c r="C129" s="92" t="str">
        <f>IF('INTERACTION-PAGE'!C121="","",'INTERACTION-PAGE'!C121)</f>
        <v/>
      </c>
      <c r="D129" s="92" t="str">
        <f>IF('INTERACTION-PAGE'!D121="","",'INTERACTION-PAGE'!D121)</f>
        <v/>
      </c>
      <c r="E129" s="92" t="str">
        <f>IF('INTERACTION-PAGE'!E121="","",'INTERACTION-PAGE'!E121)</f>
        <v/>
      </c>
      <c r="F129" s="92" t="str">
        <f>IF('INTERACTION-PAGE'!F121="","",'INTERACTION-PAGE'!F121)</f>
        <v/>
      </c>
      <c r="G129" s="92" t="str">
        <f>IF('INTERACTION-PAGE'!G121="","",'INTERACTION-PAGE'!G121)</f>
        <v/>
      </c>
      <c r="H129" s="92" t="str">
        <f>IF('INTERACTION-PAGE'!H121="","",'INTERACTION-PAGE'!H121)</f>
        <v/>
      </c>
      <c r="I129" s="92" t="str">
        <f>IF('INTERACTION-PAGE'!I121="","",'INTERACTION-PAGE'!I121)</f>
        <v/>
      </c>
      <c r="J129" s="92" t="str">
        <f>IF('INTERACTION-PAGE'!J121="","",'INTERACTION-PAGE'!J121)</f>
        <v/>
      </c>
      <c r="K129" s="92" t="str">
        <f>IF('INTERACTION-PAGE'!K121="","",'INTERACTION-PAGE'!K121)</f>
        <v/>
      </c>
      <c r="L129" s="92" t="str">
        <f>IF('INTERACTION-PAGE'!L121="","",'INTERACTION-PAGE'!L121)</f>
        <v/>
      </c>
      <c r="M129" s="92" t="str">
        <f>IF('INTERACTION-PAGE'!M121="","",'INTERACTION-PAGE'!M121)</f>
        <v/>
      </c>
      <c r="N129" s="92" t="str">
        <f>IF('INTERACTION-PAGE'!N121="","",'INTERACTION-PAGE'!N121)</f>
        <v/>
      </c>
      <c r="O129" s="92" t="str">
        <f>IF('INTERACTION-PAGE'!O121="","",'INTERACTION-PAGE'!O121)</f>
        <v/>
      </c>
      <c r="P129" s="92" t="str">
        <f>IF('INTERACTION-PAGE'!P121="","",'INTERACTION-PAGE'!P121)</f>
        <v/>
      </c>
      <c r="Q129" s="92" t="str">
        <f>IF('INTERACTION-PAGE'!Q121="","",'INTERACTION-PAGE'!Q121)</f>
        <v/>
      </c>
      <c r="R129" s="92" t="str">
        <f>IF('INTERACTION-PAGE'!R121="","",'INTERACTION-PAGE'!R121)</f>
        <v/>
      </c>
      <c r="S129" s="92" t="str">
        <f>IF('INTERACTION-PAGE'!S121="","",'INTERACTION-PAGE'!S121)</f>
        <v/>
      </c>
      <c r="T129" s="92" t="str">
        <f>IF('INTERACTION-PAGE'!T121="","",'INTERACTION-PAGE'!T121)</f>
        <v/>
      </c>
      <c r="U129" s="92" t="str">
        <f>IF('INTERACTION-PAGE'!U121="","",'INTERACTION-PAGE'!U121)</f>
        <v/>
      </c>
      <c r="V129" s="92" t="str">
        <f>IF('INTERACTION-PAGE'!V121="","",'INTERACTION-PAGE'!V121)</f>
        <v/>
      </c>
      <c r="W129" s="92" t="str">
        <f>IF('INTERACTION-PAGE'!W121="","",'INTERACTION-PAGE'!W121)</f>
        <v/>
      </c>
      <c r="X129" s="92" t="str">
        <f>IF('INTERACTION-PAGE'!X121="","",'INTERACTION-PAGE'!X121)</f>
        <v/>
      </c>
      <c r="Y129" s="167" t="str">
        <f t="shared" si="6"/>
        <v/>
      </c>
      <c r="Z129" s="167" t="str">
        <f t="shared" ref="Z129:AD129" si="124">IF(OR( $B129="", $B129="AB", $B129="UR", $C129="", $C129="AB", $C129="UR", $D129="AB", $D129="UR"),"",(IF(OR(E$10&gt;0,J$10&gt;0,O$10&gt;0,T$10&gt;0),(Z$10*(IF(AND(E$10&gt;0), IF(OR(E129="", E129="AB",E129="UR"),0,E129),0) +IF(AND(J$10&gt;0), IF(OR(J129="",J129="AB",J129=""),0,J129),0)+IF(AND(O$10&gt;0), IF(OR(O129="", O129="AB",O129="UR"),0,O129),0)+IF(AND(T$10&gt;0), IF(OR(T129="",T129="AB",T129="UR"),0,T129),0))/(E$10+J$10+O$10+T$10))," ")))</f>
        <v/>
      </c>
      <c r="AA129" s="167" t="str">
        <f t="shared" si="124"/>
        <v/>
      </c>
      <c r="AB129" s="167" t="str">
        <f t="shared" si="124"/>
        <v/>
      </c>
      <c r="AC129" s="167" t="str">
        <f t="shared" si="124"/>
        <v/>
      </c>
      <c r="AD129" s="167" t="str">
        <f t="shared" si="124"/>
        <v/>
      </c>
      <c r="AE129" s="168" t="str">
        <f t="shared" si="123"/>
        <v/>
      </c>
      <c r="AF129" s="29"/>
    </row>
    <row r="130" ht="15.0" customHeight="1">
      <c r="A130" s="95">
        <v>120.0</v>
      </c>
      <c r="B130" s="92" t="str">
        <f>IF('INTERACTION-PAGE'!B122="","",'INTERACTION-PAGE'!B122)</f>
        <v/>
      </c>
      <c r="C130" s="92" t="str">
        <f>IF('INTERACTION-PAGE'!C122="","",'INTERACTION-PAGE'!C122)</f>
        <v/>
      </c>
      <c r="D130" s="92" t="str">
        <f>IF('INTERACTION-PAGE'!D122="","",'INTERACTION-PAGE'!D122)</f>
        <v/>
      </c>
      <c r="E130" s="92" t="str">
        <f>IF('INTERACTION-PAGE'!E122="","",'INTERACTION-PAGE'!E122)</f>
        <v/>
      </c>
      <c r="F130" s="92" t="str">
        <f>IF('INTERACTION-PAGE'!F122="","",'INTERACTION-PAGE'!F122)</f>
        <v/>
      </c>
      <c r="G130" s="92" t="str">
        <f>IF('INTERACTION-PAGE'!G122="","",'INTERACTION-PAGE'!G122)</f>
        <v/>
      </c>
      <c r="H130" s="92" t="str">
        <f>IF('INTERACTION-PAGE'!H122="","",'INTERACTION-PAGE'!H122)</f>
        <v/>
      </c>
      <c r="I130" s="92" t="str">
        <f>IF('INTERACTION-PAGE'!I122="","",'INTERACTION-PAGE'!I122)</f>
        <v/>
      </c>
      <c r="J130" s="92" t="str">
        <f>IF('INTERACTION-PAGE'!J122="","",'INTERACTION-PAGE'!J122)</f>
        <v/>
      </c>
      <c r="K130" s="92" t="str">
        <f>IF('INTERACTION-PAGE'!K122="","",'INTERACTION-PAGE'!K122)</f>
        <v/>
      </c>
      <c r="L130" s="92" t="str">
        <f>IF('INTERACTION-PAGE'!L122="","",'INTERACTION-PAGE'!L122)</f>
        <v/>
      </c>
      <c r="M130" s="92" t="str">
        <f>IF('INTERACTION-PAGE'!M122="","",'INTERACTION-PAGE'!M122)</f>
        <v/>
      </c>
      <c r="N130" s="92" t="str">
        <f>IF('INTERACTION-PAGE'!N122="","",'INTERACTION-PAGE'!N122)</f>
        <v/>
      </c>
      <c r="O130" s="92" t="str">
        <f>IF('INTERACTION-PAGE'!O122="","",'INTERACTION-PAGE'!O122)</f>
        <v/>
      </c>
      <c r="P130" s="92" t="str">
        <f>IF('INTERACTION-PAGE'!P122="","",'INTERACTION-PAGE'!P122)</f>
        <v/>
      </c>
      <c r="Q130" s="92" t="str">
        <f>IF('INTERACTION-PAGE'!Q122="","",'INTERACTION-PAGE'!Q122)</f>
        <v/>
      </c>
      <c r="R130" s="92" t="str">
        <f>IF('INTERACTION-PAGE'!R122="","",'INTERACTION-PAGE'!R122)</f>
        <v/>
      </c>
      <c r="S130" s="92" t="str">
        <f>IF('INTERACTION-PAGE'!S122="","",'INTERACTION-PAGE'!S122)</f>
        <v/>
      </c>
      <c r="T130" s="92" t="str">
        <f>IF('INTERACTION-PAGE'!T122="","",'INTERACTION-PAGE'!T122)</f>
        <v/>
      </c>
      <c r="U130" s="92" t="str">
        <f>IF('INTERACTION-PAGE'!U122="","",'INTERACTION-PAGE'!U122)</f>
        <v/>
      </c>
      <c r="V130" s="92" t="str">
        <f>IF('INTERACTION-PAGE'!V122="","",'INTERACTION-PAGE'!V122)</f>
        <v/>
      </c>
      <c r="W130" s="92" t="str">
        <f>IF('INTERACTION-PAGE'!W122="","",'INTERACTION-PAGE'!W122)</f>
        <v/>
      </c>
      <c r="X130" s="92" t="str">
        <f>IF('INTERACTION-PAGE'!X122="","",'INTERACTION-PAGE'!X122)</f>
        <v/>
      </c>
      <c r="Y130" s="167" t="str">
        <f t="shared" si="6"/>
        <v/>
      </c>
      <c r="Z130" s="167" t="str">
        <f t="shared" ref="Z130:AD130" si="125">IF(OR( $B130="", $B130="AB", $B130="UR", $C130="", $C130="AB", $C130="UR", $D130="AB", $D130="UR"),"",(IF(OR(E$10&gt;0,J$10&gt;0,O$10&gt;0,T$10&gt;0),(Z$10*(IF(AND(E$10&gt;0), IF(OR(E130="", E130="AB",E130="UR"),0,E130),0) +IF(AND(J$10&gt;0), IF(OR(J130="",J130="AB",J130=""),0,J130),0)+IF(AND(O$10&gt;0), IF(OR(O130="", O130="AB",O130="UR"),0,O130),0)+IF(AND(T$10&gt;0), IF(OR(T130="",T130="AB",T130="UR"),0,T130),0))/(E$10+J$10+O$10+T$10))," ")))</f>
        <v/>
      </c>
      <c r="AA130" s="167" t="str">
        <f t="shared" si="125"/>
        <v/>
      </c>
      <c r="AB130" s="167" t="str">
        <f t="shared" si="125"/>
        <v/>
      </c>
      <c r="AC130" s="167" t="str">
        <f t="shared" si="125"/>
        <v/>
      </c>
      <c r="AD130" s="167" t="str">
        <f t="shared" si="125"/>
        <v/>
      </c>
      <c r="AE130" s="168" t="str">
        <f t="shared" si="123"/>
        <v/>
      </c>
      <c r="AF130" s="29"/>
    </row>
    <row r="131" ht="16.5" customHeight="1">
      <c r="A131" s="101" t="s">
        <v>152</v>
      </c>
      <c r="B131" s="102"/>
      <c r="C131" s="102"/>
      <c r="D131" s="102"/>
      <c r="E131" s="102"/>
      <c r="F131" s="102"/>
      <c r="G131" s="102"/>
      <c r="H131" s="102"/>
      <c r="I131" s="103"/>
      <c r="J131" s="104" t="s">
        <v>153</v>
      </c>
      <c r="K131" s="105" t="s">
        <v>154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170">
        <f>IF(Y$10="","",COUNTIF($D$11:$D$130,"AB")+COUNTIF($D$11:$D$130,"UR"))</f>
        <v>0</v>
      </c>
      <c r="Z131" s="171">
        <f t="shared" ref="Z131:AD131" si="126">IF(Z$10="","",COUNTIF(Z$11:Z$130,"AB")+COUNTIF(Z$11:Z$130,"")-COUNTIF($C$11:$C$130,""))</f>
        <v>0</v>
      </c>
      <c r="AA131" s="171">
        <f t="shared" si="126"/>
        <v>0</v>
      </c>
      <c r="AB131" s="171">
        <f t="shared" si="126"/>
        <v>0</v>
      </c>
      <c r="AC131" s="171">
        <f t="shared" si="126"/>
        <v>0</v>
      </c>
      <c r="AD131" s="171" t="str">
        <f t="shared" si="126"/>
        <v/>
      </c>
      <c r="AE131" s="107"/>
      <c r="AF131" s="29"/>
    </row>
    <row r="132" ht="21.75" customHeight="1">
      <c r="A132" s="108"/>
      <c r="B132" s="109" t="s">
        <v>155</v>
      </c>
      <c r="C132" s="78"/>
      <c r="D132" s="78"/>
      <c r="E132" s="78"/>
      <c r="F132" s="78"/>
      <c r="G132" s="78"/>
      <c r="H132" s="78"/>
      <c r="I132" s="2"/>
      <c r="J132" s="58"/>
      <c r="K132" s="105" t="s">
        <v>156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  <c r="Y132" s="170">
        <f>COUNT($A$11:$A$130)-COUNTIF($D$11:$D$130, "AB")-COUNTIF($D$11:$D$130, "UR")-COUNTIF($C$11:$C$130, "")</f>
        <v>63</v>
      </c>
      <c r="Z132" s="171">
        <f t="shared" ref="Z132:AD132" si="127">IF(Z$10="","",IF((COUNT($A$11:$A$130)-COUNTIF($C$11:$C$130,"")-Z$131)&lt;0,0,COUNT($A$11:$A$130)-COUNTIF($C$11:$C$130,"")-Z$131))</f>
        <v>63</v>
      </c>
      <c r="AA132" s="171">
        <f t="shared" si="127"/>
        <v>63</v>
      </c>
      <c r="AB132" s="171">
        <f t="shared" si="127"/>
        <v>63</v>
      </c>
      <c r="AC132" s="171">
        <f t="shared" si="127"/>
        <v>63</v>
      </c>
      <c r="AD132" s="171" t="str">
        <f t="shared" si="127"/>
        <v/>
      </c>
      <c r="AE132" s="14"/>
      <c r="AF132" s="29"/>
    </row>
    <row r="133" ht="21.75" customHeight="1">
      <c r="A133" s="108"/>
      <c r="B133" s="14"/>
      <c r="I133" s="15"/>
      <c r="J133" s="58"/>
      <c r="K133" s="105" t="s">
        <v>157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  <c r="Y133" s="172">
        <f>IF(Y$10="","",COUNTIF(Y$11:Y$130,"&gt;="&amp;$N$1))</f>
        <v>54</v>
      </c>
      <c r="Z133" s="171">
        <f t="shared" ref="Z133:AD133" si="128">IF(Z$10="","",COUNTIF(Z$11:Z$130,"&gt;="&amp;$N$2))</f>
        <v>39</v>
      </c>
      <c r="AA133" s="171">
        <f t="shared" si="128"/>
        <v>23</v>
      </c>
      <c r="AB133" s="171">
        <f t="shared" si="128"/>
        <v>2</v>
      </c>
      <c r="AC133" s="171">
        <f t="shared" si="128"/>
        <v>2</v>
      </c>
      <c r="AD133" s="171" t="str">
        <f t="shared" si="128"/>
        <v/>
      </c>
      <c r="AE133" s="14"/>
      <c r="AF133" s="29"/>
    </row>
    <row r="134" ht="21.75" customHeight="1">
      <c r="A134" s="108"/>
      <c r="B134" s="14"/>
      <c r="I134" s="15"/>
      <c r="J134" s="58"/>
      <c r="K134" s="105" t="s">
        <v>158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  <c r="Y134" s="173">
        <f>IFERROR((Y133/Y132)*100,"")</f>
        <v>85.71428571</v>
      </c>
      <c r="Z134" s="174">
        <f t="shared" ref="Z134:AD134" si="129">IFERROR((Z$133/Z$132)*100,"")</f>
        <v>61.9047619</v>
      </c>
      <c r="AA134" s="174">
        <f t="shared" si="129"/>
        <v>36.50793651</v>
      </c>
      <c r="AB134" s="174">
        <f t="shared" si="129"/>
        <v>3.174603175</v>
      </c>
      <c r="AC134" s="174">
        <f t="shared" si="129"/>
        <v>3.174603175</v>
      </c>
      <c r="AD134" s="174" t="str">
        <f t="shared" si="129"/>
        <v/>
      </c>
      <c r="AE134" s="14"/>
      <c r="AF134" s="29"/>
    </row>
    <row r="135" ht="31.5" customHeight="1">
      <c r="A135" s="113"/>
      <c r="B135" s="21"/>
      <c r="C135" s="100"/>
      <c r="D135" s="100"/>
      <c r="E135" s="100"/>
      <c r="F135" s="100"/>
      <c r="G135" s="100"/>
      <c r="H135" s="100"/>
      <c r="I135" s="22"/>
      <c r="J135" s="59"/>
      <c r="K135" s="105" t="s">
        <v>194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  <c r="Y135" s="173"/>
      <c r="Z135" s="174">
        <f t="shared" ref="Z135:AD135" si="130">IF(Z134="","",IF(Z134&gt;=$C$1,$E$1,IF(Z134&gt;=$C$2,$E$2+(Z134-$C$2)/$F$2,IF(Z134&gt;=$C$3,$E$3+(Z134-$C$3)/$F$3,0))))</f>
        <v>2.19047619</v>
      </c>
      <c r="AA135" s="174">
        <f t="shared" si="130"/>
        <v>0</v>
      </c>
      <c r="AB135" s="174">
        <f t="shared" si="130"/>
        <v>0</v>
      </c>
      <c r="AC135" s="174">
        <f t="shared" si="130"/>
        <v>0</v>
      </c>
      <c r="AD135" s="174" t="str">
        <f t="shared" si="130"/>
        <v/>
      </c>
      <c r="AE135" s="14"/>
      <c r="AF135" s="29"/>
    </row>
    <row r="136" ht="21.75" customHeight="1">
      <c r="A136" s="114"/>
      <c r="B136" s="115"/>
      <c r="C136" s="8"/>
      <c r="D136" s="8"/>
      <c r="E136" s="8"/>
      <c r="F136" s="8"/>
      <c r="G136" s="8"/>
      <c r="H136" s="9"/>
      <c r="I136" s="116"/>
      <c r="J136" s="117" t="s">
        <v>160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175">
        <f t="shared" ref="Z136:AD136" si="131">IFERROR(Z135,"")</f>
        <v>2.19047619</v>
      </c>
      <c r="AA136" s="175">
        <f t="shared" si="131"/>
        <v>0</v>
      </c>
      <c r="AB136" s="175">
        <f t="shared" si="131"/>
        <v>0</v>
      </c>
      <c r="AC136" s="175">
        <f t="shared" si="131"/>
        <v>0</v>
      </c>
      <c r="AD136" s="175" t="str">
        <f t="shared" si="131"/>
        <v/>
      </c>
      <c r="AE136" s="14"/>
      <c r="AF136" s="29"/>
    </row>
    <row r="137" ht="16.5" customHeight="1">
      <c r="A137" s="101" t="s">
        <v>152</v>
      </c>
      <c r="B137" s="102"/>
      <c r="C137" s="102"/>
      <c r="D137" s="102"/>
      <c r="E137" s="102"/>
      <c r="F137" s="102"/>
      <c r="G137" s="102"/>
      <c r="H137" s="102"/>
      <c r="I137" s="103"/>
      <c r="J137" s="104" t="s">
        <v>153</v>
      </c>
      <c r="K137" s="105" t="s">
        <v>154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170">
        <f>IF(Y$10="","",COUNTIF($D$11:$D$130,"AB")+COUNTIF($D$11:$D$130,"UR"))</f>
        <v>0</v>
      </c>
      <c r="Z137" s="171">
        <f t="shared" ref="Z137:AD137" si="132">IF(Z$10="","",COUNTIF(Z$11:Z$130,"AB")+COUNTIF(Z$11:Z$130,"")-COUNTIF($C$11:$C$130,""))</f>
        <v>0</v>
      </c>
      <c r="AA137" s="171">
        <f t="shared" si="132"/>
        <v>0</v>
      </c>
      <c r="AB137" s="171">
        <f t="shared" si="132"/>
        <v>0</v>
      </c>
      <c r="AC137" s="171">
        <f t="shared" si="132"/>
        <v>0</v>
      </c>
      <c r="AD137" s="171" t="str">
        <f t="shared" si="132"/>
        <v/>
      </c>
      <c r="AE137" s="107"/>
      <c r="AF137" s="29"/>
    </row>
    <row r="138" ht="21.75" customHeight="1">
      <c r="A138" s="108"/>
      <c r="B138" s="109" t="s">
        <v>161</v>
      </c>
      <c r="C138" s="78"/>
      <c r="D138" s="78"/>
      <c r="E138" s="78"/>
      <c r="F138" s="78"/>
      <c r="G138" s="78"/>
      <c r="H138" s="78"/>
      <c r="I138" s="2"/>
      <c r="J138" s="58"/>
      <c r="K138" s="105" t="s">
        <v>156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170">
        <f>COUNT($A$11:$A$130)-COUNTIF($D$11:$D$130, "AB")-COUNTIF($D$11:$D$130, "UR")-COUNTIF($C$11:$C$130, "")</f>
        <v>63</v>
      </c>
      <c r="Z138" s="171">
        <f t="shared" ref="Z138:AD138" si="133">IF(Z$10="","",IF((COUNT($A$11:$A$130)-COUNTIF($C$11:$C$130,"")-Z$131)&lt;0,0,COUNT($A$11:$A$130)-COUNTIF($C$11:$C$130,"")-Z$131))</f>
        <v>63</v>
      </c>
      <c r="AA138" s="171">
        <f t="shared" si="133"/>
        <v>63</v>
      </c>
      <c r="AB138" s="171">
        <f t="shared" si="133"/>
        <v>63</v>
      </c>
      <c r="AC138" s="171">
        <f t="shared" si="133"/>
        <v>63</v>
      </c>
      <c r="AD138" s="171" t="str">
        <f t="shared" si="133"/>
        <v/>
      </c>
      <c r="AE138" s="14"/>
      <c r="AF138" s="29"/>
    </row>
    <row r="139" ht="21.75" customHeight="1">
      <c r="A139" s="108"/>
      <c r="B139" s="14"/>
      <c r="I139" s="15"/>
      <c r="J139" s="58"/>
      <c r="K139" s="105" t="s">
        <v>162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  <c r="Y139" s="170">
        <f t="shared" ref="Y139:AD139" si="134">IF(Y$10="","",COUNTIF(Y$11:Y$130,"&gt;="&amp;$N$1))</f>
        <v>54</v>
      </c>
      <c r="Z139" s="176">
        <f t="shared" si="134"/>
        <v>55</v>
      </c>
      <c r="AA139" s="176">
        <f t="shared" si="134"/>
        <v>55</v>
      </c>
      <c r="AB139" s="176">
        <f t="shared" si="134"/>
        <v>40</v>
      </c>
      <c r="AC139" s="176">
        <f t="shared" si="134"/>
        <v>32</v>
      </c>
      <c r="AD139" s="176" t="str">
        <f t="shared" si="134"/>
        <v/>
      </c>
      <c r="AE139" s="14"/>
      <c r="AF139" s="29"/>
    </row>
    <row r="140" ht="21.75" customHeight="1">
      <c r="A140" s="108"/>
      <c r="B140" s="14"/>
      <c r="I140" s="15"/>
      <c r="J140" s="58"/>
      <c r="K140" s="105" t="s">
        <v>163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9"/>
      <c r="Y140" s="174">
        <f t="shared" ref="Y140:AD140" si="135">IFERROR((Y139/Y138)*100,"")</f>
        <v>85.71428571</v>
      </c>
      <c r="Z140" s="174">
        <f t="shared" si="135"/>
        <v>87.3015873</v>
      </c>
      <c r="AA140" s="174">
        <f t="shared" si="135"/>
        <v>87.3015873</v>
      </c>
      <c r="AB140" s="174">
        <f t="shared" si="135"/>
        <v>63.49206349</v>
      </c>
      <c r="AC140" s="174">
        <f t="shared" si="135"/>
        <v>50.79365079</v>
      </c>
      <c r="AD140" s="174" t="str">
        <f t="shared" si="135"/>
        <v/>
      </c>
      <c r="AE140" s="14"/>
      <c r="AF140" s="29"/>
    </row>
    <row r="141" ht="31.5" customHeight="1">
      <c r="A141" s="113"/>
      <c r="B141" s="21"/>
      <c r="C141" s="100"/>
      <c r="D141" s="100"/>
      <c r="E141" s="100"/>
      <c r="F141" s="100"/>
      <c r="G141" s="100"/>
      <c r="H141" s="100"/>
      <c r="I141" s="22"/>
      <c r="J141" s="59"/>
      <c r="K141" s="105" t="s">
        <v>195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177"/>
      <c r="Z141" s="174" t="str">
        <f t="shared" ref="Z141:AD141" si="136">IF(Z140="","",IFERROR(AVERAGE(Z$11:Z$130),""))</f>
        <v/>
      </c>
      <c r="AA141" s="174" t="str">
        <f t="shared" si="136"/>
        <v/>
      </c>
      <c r="AB141" s="174" t="str">
        <f t="shared" si="136"/>
        <v/>
      </c>
      <c r="AC141" s="174" t="str">
        <f t="shared" si="136"/>
        <v/>
      </c>
      <c r="AD141" s="174" t="str">
        <f t="shared" si="136"/>
        <v/>
      </c>
      <c r="AE141" s="14"/>
      <c r="AF141" s="29"/>
    </row>
    <row r="142" ht="21.75" customHeight="1">
      <c r="A142" s="114"/>
      <c r="B142" s="115"/>
      <c r="C142" s="8"/>
      <c r="D142" s="8"/>
      <c r="E142" s="8"/>
      <c r="F142" s="8"/>
      <c r="G142" s="8"/>
      <c r="H142" s="9"/>
      <c r="I142" s="116"/>
      <c r="J142" s="117" t="s">
        <v>165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175" t="str">
        <f t="shared" ref="Z142:AD142" si="137">IFERROR(Z141,"")</f>
        <v/>
      </c>
      <c r="AA142" s="175" t="str">
        <f t="shared" si="137"/>
        <v/>
      </c>
      <c r="AB142" s="175" t="str">
        <f t="shared" si="137"/>
        <v/>
      </c>
      <c r="AC142" s="175" t="str">
        <f t="shared" si="137"/>
        <v/>
      </c>
      <c r="AD142" s="175" t="str">
        <f t="shared" si="137"/>
        <v/>
      </c>
      <c r="AE142" s="14"/>
      <c r="AF142" s="29"/>
    </row>
    <row r="143" ht="21.75" customHeight="1">
      <c r="A143" s="29"/>
      <c r="B143" s="29"/>
      <c r="C143" s="29"/>
      <c r="D143" s="29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29"/>
      <c r="AA143" s="29"/>
      <c r="AB143" s="29"/>
      <c r="AC143" s="29"/>
      <c r="AD143" s="29"/>
      <c r="AE143" s="29"/>
      <c r="AF143" s="29"/>
    </row>
    <row r="144" ht="21.75" customHeight="1">
      <c r="A144" s="29"/>
      <c r="B144" s="29"/>
      <c r="C144" s="29"/>
      <c r="D144" s="29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29"/>
      <c r="AA144" s="29"/>
      <c r="AB144" s="29"/>
      <c r="AC144" s="29"/>
      <c r="AD144" s="29"/>
      <c r="AE144" s="29"/>
      <c r="AF144" s="29"/>
    </row>
    <row r="145" ht="21.75" customHeight="1">
      <c r="A145" s="29"/>
      <c r="B145" s="29"/>
      <c r="C145" s="29"/>
      <c r="D145" s="29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29"/>
      <c r="AA145" s="29"/>
      <c r="AB145" s="29"/>
      <c r="AC145" s="29"/>
      <c r="AD145" s="29"/>
      <c r="AE145" s="29"/>
      <c r="AF145" s="29"/>
    </row>
    <row r="146" ht="21.75" customHeight="1">
      <c r="A146" s="29"/>
      <c r="B146" s="29"/>
      <c r="C146" s="29"/>
      <c r="D146" s="29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29"/>
      <c r="AA146" s="29"/>
      <c r="AB146" s="29"/>
      <c r="AC146" s="29"/>
      <c r="AD146" s="29"/>
      <c r="AE146" s="29"/>
      <c r="AF146" s="29"/>
    </row>
    <row r="147" ht="21.75" customHeight="1">
      <c r="A147" s="29"/>
      <c r="B147" s="29"/>
      <c r="C147" s="29"/>
      <c r="D147" s="29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29"/>
      <c r="AA147" s="29"/>
      <c r="AB147" s="29"/>
      <c r="AC147" s="29"/>
      <c r="AD147" s="29"/>
      <c r="AE147" s="29"/>
      <c r="AF147" s="29"/>
    </row>
    <row r="148" ht="21.75" customHeight="1">
      <c r="A148" s="29"/>
      <c r="B148" s="29"/>
      <c r="C148" s="29"/>
      <c r="D148" s="29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29"/>
      <c r="AA148" s="29"/>
      <c r="AB148" s="29"/>
      <c r="AC148" s="29"/>
      <c r="AD148" s="29"/>
      <c r="AE148" s="29"/>
      <c r="AF148" s="29"/>
    </row>
    <row r="149" ht="21.75" customHeight="1">
      <c r="A149" s="29"/>
      <c r="B149" s="29"/>
      <c r="C149" s="29"/>
      <c r="D149" s="29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29"/>
      <c r="AA149" s="29"/>
      <c r="AB149" s="29"/>
      <c r="AC149" s="29"/>
      <c r="AD149" s="29"/>
      <c r="AE149" s="29"/>
      <c r="AF149" s="29"/>
    </row>
    <row r="150" ht="21.75" customHeight="1">
      <c r="A150" s="29"/>
      <c r="B150" s="29"/>
      <c r="C150" s="29"/>
      <c r="D150" s="29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29"/>
      <c r="AA150" s="29"/>
      <c r="AB150" s="29"/>
      <c r="AC150" s="29"/>
      <c r="AD150" s="29"/>
      <c r="AE150" s="29"/>
      <c r="AF150" s="29"/>
    </row>
    <row r="151" ht="21.75" customHeight="1">
      <c r="A151" s="29"/>
      <c r="B151" s="29"/>
      <c r="C151" s="29"/>
      <c r="D151" s="29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29"/>
      <c r="AA151" s="29"/>
      <c r="AB151" s="29"/>
      <c r="AC151" s="29"/>
      <c r="AD151" s="29"/>
      <c r="AE151" s="29"/>
      <c r="AF151" s="29"/>
    </row>
    <row r="152" ht="21.75" customHeight="1">
      <c r="A152" s="29"/>
      <c r="B152" s="29"/>
      <c r="C152" s="29"/>
      <c r="D152" s="29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29"/>
      <c r="AA152" s="29"/>
      <c r="AB152" s="29"/>
      <c r="AC152" s="29"/>
      <c r="AD152" s="29"/>
      <c r="AE152" s="29"/>
      <c r="AF152" s="29"/>
    </row>
    <row r="153" ht="21.75" customHeight="1">
      <c r="A153" s="29"/>
      <c r="B153" s="29"/>
      <c r="C153" s="29"/>
      <c r="D153" s="29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29"/>
      <c r="AA153" s="29"/>
      <c r="AB153" s="29"/>
      <c r="AC153" s="29"/>
      <c r="AD153" s="29"/>
      <c r="AE153" s="29"/>
      <c r="AF153" s="29"/>
    </row>
    <row r="154" ht="21.75" customHeight="1">
      <c r="A154" s="29"/>
      <c r="B154" s="29"/>
      <c r="C154" s="29"/>
      <c r="D154" s="29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29"/>
      <c r="AA154" s="29"/>
      <c r="AB154" s="29"/>
      <c r="AC154" s="29"/>
      <c r="AD154" s="29"/>
      <c r="AE154" s="29"/>
      <c r="AF154" s="29"/>
    </row>
    <row r="155" ht="21.75" customHeight="1">
      <c r="A155" s="29"/>
      <c r="B155" s="29"/>
      <c r="C155" s="29"/>
      <c r="D155" s="29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29"/>
      <c r="AA155" s="29"/>
      <c r="AB155" s="29"/>
      <c r="AC155" s="29"/>
      <c r="AD155" s="29"/>
      <c r="AE155" s="29"/>
      <c r="AF155" s="29"/>
    </row>
    <row r="156" ht="21.75" customHeight="1">
      <c r="A156" s="29"/>
      <c r="B156" s="29"/>
      <c r="C156" s="29"/>
      <c r="D156" s="29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29"/>
      <c r="AA156" s="29"/>
      <c r="AB156" s="29"/>
      <c r="AC156" s="29"/>
      <c r="AD156" s="29"/>
      <c r="AE156" s="29"/>
      <c r="AF156" s="29"/>
    </row>
    <row r="157" ht="21.75" customHeight="1">
      <c r="A157" s="29"/>
      <c r="B157" s="29"/>
      <c r="C157" s="29"/>
      <c r="D157" s="29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29"/>
      <c r="AA157" s="29"/>
      <c r="AB157" s="29"/>
      <c r="AC157" s="29"/>
      <c r="AD157" s="29"/>
      <c r="AE157" s="29"/>
      <c r="AF157" s="29"/>
    </row>
    <row r="158" ht="21.75" customHeight="1">
      <c r="A158" s="29"/>
      <c r="B158" s="29"/>
      <c r="C158" s="29"/>
      <c r="D158" s="29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29"/>
      <c r="AA158" s="29"/>
      <c r="AB158" s="29"/>
      <c r="AC158" s="29"/>
      <c r="AD158" s="29"/>
      <c r="AE158" s="29"/>
      <c r="AF158" s="29"/>
    </row>
    <row r="159" ht="21.75" customHeight="1">
      <c r="A159" s="29"/>
      <c r="B159" s="29"/>
      <c r="C159" s="29"/>
      <c r="D159" s="29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29"/>
      <c r="AA159" s="29"/>
      <c r="AB159" s="29"/>
      <c r="AC159" s="29"/>
      <c r="AD159" s="29"/>
      <c r="AE159" s="29"/>
      <c r="AF159" s="29"/>
    </row>
    <row r="160" ht="21.75" customHeight="1">
      <c r="A160" s="29"/>
      <c r="B160" s="29"/>
      <c r="C160" s="29"/>
      <c r="D160" s="29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29"/>
      <c r="AA160" s="29"/>
      <c r="AB160" s="29"/>
      <c r="AC160" s="29"/>
      <c r="AD160" s="29"/>
      <c r="AE160" s="29"/>
      <c r="AF160" s="29"/>
    </row>
    <row r="161" ht="21.75" customHeight="1">
      <c r="A161" s="29"/>
      <c r="B161" s="29"/>
      <c r="C161" s="29"/>
      <c r="D161" s="29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29"/>
      <c r="AA161" s="29"/>
      <c r="AB161" s="29"/>
      <c r="AC161" s="29"/>
      <c r="AD161" s="29"/>
      <c r="AE161" s="29"/>
      <c r="AF161" s="29"/>
    </row>
    <row r="162" ht="21.75" customHeight="1">
      <c r="A162" s="29"/>
      <c r="B162" s="29"/>
      <c r="C162" s="29"/>
      <c r="D162" s="29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29"/>
      <c r="AA162" s="29"/>
      <c r="AB162" s="29"/>
      <c r="AC162" s="29"/>
      <c r="AD162" s="29"/>
      <c r="AE162" s="29"/>
      <c r="AF162" s="29"/>
    </row>
    <row r="163" ht="21.75" customHeight="1">
      <c r="A163" s="29"/>
      <c r="B163" s="29"/>
      <c r="C163" s="29"/>
      <c r="D163" s="29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29"/>
      <c r="AA163" s="29"/>
      <c r="AB163" s="29"/>
      <c r="AC163" s="29"/>
      <c r="AD163" s="29"/>
      <c r="AE163" s="29"/>
      <c r="AF163" s="29"/>
    </row>
    <row r="164" ht="21.75" customHeight="1">
      <c r="A164" s="29"/>
      <c r="B164" s="29"/>
      <c r="C164" s="29"/>
      <c r="D164" s="29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29"/>
      <c r="AA164" s="29"/>
      <c r="AB164" s="29"/>
      <c r="AC164" s="29"/>
      <c r="AD164" s="29"/>
      <c r="AE164" s="29"/>
      <c r="AF164" s="29"/>
    </row>
    <row r="165" ht="21.75" customHeight="1">
      <c r="A165" s="29"/>
      <c r="B165" s="29"/>
      <c r="C165" s="29"/>
      <c r="D165" s="29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29"/>
      <c r="AA165" s="29"/>
      <c r="AB165" s="29"/>
      <c r="AC165" s="29"/>
      <c r="AD165" s="29"/>
      <c r="AE165" s="29"/>
      <c r="AF165" s="29"/>
    </row>
    <row r="166" ht="21.75" customHeight="1">
      <c r="A166" s="29"/>
      <c r="B166" s="29"/>
      <c r="C166" s="29"/>
      <c r="D166" s="29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29"/>
      <c r="AA166" s="29"/>
      <c r="AB166" s="29"/>
      <c r="AC166" s="29"/>
      <c r="AD166" s="29"/>
      <c r="AE166" s="29"/>
      <c r="AF166" s="29"/>
    </row>
    <row r="167" ht="21.75" customHeight="1">
      <c r="A167" s="29"/>
      <c r="B167" s="29"/>
      <c r="C167" s="29"/>
      <c r="D167" s="29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29"/>
      <c r="AA167" s="29"/>
      <c r="AB167" s="29"/>
      <c r="AC167" s="29"/>
      <c r="AD167" s="29"/>
      <c r="AE167" s="29"/>
      <c r="AF167" s="29"/>
    </row>
    <row r="168" ht="21.75" customHeight="1">
      <c r="A168" s="29"/>
      <c r="B168" s="29"/>
      <c r="C168" s="29"/>
      <c r="D168" s="29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29"/>
      <c r="AA168" s="29"/>
      <c r="AB168" s="29"/>
      <c r="AC168" s="29"/>
      <c r="AD168" s="29"/>
      <c r="AE168" s="29"/>
      <c r="AF168" s="29"/>
    </row>
    <row r="169" ht="21.75" customHeight="1">
      <c r="A169" s="29"/>
      <c r="B169" s="29"/>
      <c r="C169" s="29"/>
      <c r="D169" s="29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29"/>
      <c r="AA169" s="29"/>
      <c r="AB169" s="29"/>
      <c r="AC169" s="29"/>
      <c r="AD169" s="29"/>
      <c r="AE169" s="29"/>
      <c r="AF169" s="29"/>
    </row>
    <row r="170" ht="21.75" customHeight="1">
      <c r="A170" s="29"/>
      <c r="B170" s="29"/>
      <c r="C170" s="29"/>
      <c r="D170" s="29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29"/>
      <c r="AA170" s="29"/>
      <c r="AB170" s="29"/>
      <c r="AC170" s="29"/>
      <c r="AD170" s="29"/>
      <c r="AE170" s="29"/>
      <c r="AF170" s="29"/>
    </row>
    <row r="171" ht="21.75" customHeight="1">
      <c r="A171" s="29"/>
      <c r="B171" s="29"/>
      <c r="C171" s="29"/>
      <c r="D171" s="29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29"/>
      <c r="AA171" s="29"/>
      <c r="AB171" s="29"/>
      <c r="AC171" s="29"/>
      <c r="AD171" s="29"/>
      <c r="AE171" s="29"/>
      <c r="AF171" s="29"/>
    </row>
    <row r="172" ht="21.75" customHeight="1">
      <c r="A172" s="29"/>
      <c r="B172" s="29"/>
      <c r="C172" s="29"/>
      <c r="D172" s="29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29"/>
      <c r="AA172" s="29"/>
      <c r="AB172" s="29"/>
      <c r="AC172" s="29"/>
      <c r="AD172" s="29"/>
      <c r="AE172" s="29"/>
      <c r="AF172" s="29"/>
    </row>
    <row r="173" ht="21.75" customHeight="1">
      <c r="A173" s="29"/>
      <c r="B173" s="29"/>
      <c r="C173" s="29"/>
      <c r="D173" s="29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29"/>
      <c r="AA173" s="29"/>
      <c r="AB173" s="29"/>
      <c r="AC173" s="29"/>
      <c r="AD173" s="29"/>
      <c r="AE173" s="29"/>
      <c r="AF173" s="29"/>
    </row>
    <row r="174" ht="21.75" customHeight="1">
      <c r="A174" s="29"/>
      <c r="B174" s="29"/>
      <c r="C174" s="29"/>
      <c r="D174" s="29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29"/>
      <c r="AA174" s="29"/>
      <c r="AB174" s="29"/>
      <c r="AC174" s="29"/>
      <c r="AD174" s="29"/>
      <c r="AE174" s="29"/>
      <c r="AF174" s="29"/>
    </row>
    <row r="175" ht="21.75" customHeight="1">
      <c r="A175" s="29"/>
      <c r="B175" s="29"/>
      <c r="C175" s="29"/>
      <c r="D175" s="29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29"/>
      <c r="AA175" s="29"/>
      <c r="AB175" s="29"/>
      <c r="AC175" s="29"/>
      <c r="AD175" s="29"/>
      <c r="AE175" s="29"/>
      <c r="AF175" s="29"/>
    </row>
    <row r="176" ht="21.75" customHeight="1">
      <c r="A176" s="29"/>
      <c r="B176" s="29"/>
      <c r="C176" s="29"/>
      <c r="D176" s="29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29"/>
      <c r="AA176" s="29"/>
      <c r="AB176" s="29"/>
      <c r="AC176" s="29"/>
      <c r="AD176" s="29"/>
      <c r="AE176" s="29"/>
      <c r="AF176" s="29"/>
    </row>
    <row r="177" ht="21.75" customHeight="1">
      <c r="A177" s="29"/>
      <c r="B177" s="29"/>
      <c r="C177" s="29"/>
      <c r="D177" s="29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29"/>
      <c r="AA177" s="29"/>
      <c r="AB177" s="29"/>
      <c r="AC177" s="29"/>
      <c r="AD177" s="29"/>
      <c r="AE177" s="29"/>
      <c r="AF177" s="29"/>
    </row>
    <row r="178" ht="21.75" customHeight="1">
      <c r="A178" s="29"/>
      <c r="B178" s="29"/>
      <c r="C178" s="29"/>
      <c r="D178" s="29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29"/>
      <c r="AA178" s="29"/>
      <c r="AB178" s="29"/>
      <c r="AC178" s="29"/>
      <c r="AD178" s="29"/>
      <c r="AE178" s="29"/>
      <c r="AF178" s="29"/>
    </row>
    <row r="179" ht="21.75" customHeight="1">
      <c r="A179" s="29"/>
      <c r="B179" s="29"/>
      <c r="C179" s="29"/>
      <c r="D179" s="29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29"/>
      <c r="AA179" s="29"/>
      <c r="AB179" s="29"/>
      <c r="AC179" s="29"/>
      <c r="AD179" s="29"/>
      <c r="AE179" s="29"/>
      <c r="AF179" s="29"/>
    </row>
    <row r="180" ht="21.75" customHeight="1">
      <c r="A180" s="29"/>
      <c r="B180" s="29"/>
      <c r="C180" s="29"/>
      <c r="D180" s="29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29"/>
      <c r="AA180" s="29"/>
      <c r="AB180" s="29"/>
      <c r="AC180" s="29"/>
      <c r="AD180" s="29"/>
      <c r="AE180" s="29"/>
      <c r="AF180" s="29"/>
    </row>
    <row r="181" ht="21.75" customHeight="1">
      <c r="A181" s="29"/>
      <c r="B181" s="29"/>
      <c r="C181" s="29"/>
      <c r="D181" s="29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29"/>
      <c r="AA181" s="29"/>
      <c r="AB181" s="29"/>
      <c r="AC181" s="29"/>
      <c r="AD181" s="29"/>
      <c r="AE181" s="29"/>
      <c r="AF181" s="29"/>
    </row>
    <row r="182" ht="21.75" customHeight="1">
      <c r="A182" s="29"/>
      <c r="B182" s="29"/>
      <c r="C182" s="29"/>
      <c r="D182" s="29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29"/>
      <c r="AA182" s="29"/>
      <c r="AB182" s="29"/>
      <c r="AC182" s="29"/>
      <c r="AD182" s="29"/>
      <c r="AE182" s="29"/>
      <c r="AF182" s="29"/>
    </row>
    <row r="183" ht="21.75" customHeight="1">
      <c r="A183" s="29"/>
      <c r="B183" s="29"/>
      <c r="C183" s="29"/>
      <c r="D183" s="29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29"/>
      <c r="AA183" s="29"/>
      <c r="AB183" s="29"/>
      <c r="AC183" s="29"/>
      <c r="AD183" s="29"/>
      <c r="AE183" s="29"/>
      <c r="AF183" s="29"/>
    </row>
    <row r="184" ht="21.75" customHeight="1">
      <c r="A184" s="29"/>
      <c r="B184" s="29"/>
      <c r="C184" s="29"/>
      <c r="D184" s="29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29"/>
      <c r="AA184" s="29"/>
      <c r="AB184" s="29"/>
      <c r="AC184" s="29"/>
      <c r="AD184" s="29"/>
      <c r="AE184" s="29"/>
      <c r="AF184" s="29"/>
    </row>
    <row r="185" ht="21.75" customHeight="1">
      <c r="A185" s="29"/>
      <c r="B185" s="29"/>
      <c r="C185" s="29"/>
      <c r="D185" s="29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29"/>
      <c r="AA185" s="29"/>
      <c r="AB185" s="29"/>
      <c r="AC185" s="29"/>
      <c r="AD185" s="29"/>
      <c r="AE185" s="29"/>
      <c r="AF185" s="29"/>
    </row>
    <row r="186" ht="21.75" customHeight="1">
      <c r="A186" s="29"/>
      <c r="B186" s="29"/>
      <c r="C186" s="29"/>
      <c r="D186" s="29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29"/>
      <c r="AA186" s="29"/>
      <c r="AB186" s="29"/>
      <c r="AC186" s="29"/>
      <c r="AD186" s="29"/>
      <c r="AE186" s="29"/>
      <c r="AF186" s="29"/>
    </row>
    <row r="187" ht="21.75" customHeight="1">
      <c r="A187" s="29"/>
      <c r="B187" s="29"/>
      <c r="C187" s="29"/>
      <c r="D187" s="29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29"/>
      <c r="AA187" s="29"/>
      <c r="AB187" s="29"/>
      <c r="AC187" s="29"/>
      <c r="AD187" s="29"/>
      <c r="AE187" s="29"/>
      <c r="AF187" s="29"/>
    </row>
    <row r="188" ht="21.75" customHeight="1">
      <c r="A188" s="29"/>
      <c r="B188" s="29"/>
      <c r="C188" s="29"/>
      <c r="D188" s="29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29"/>
      <c r="AA188" s="29"/>
      <c r="AB188" s="29"/>
      <c r="AC188" s="29"/>
      <c r="AD188" s="29"/>
      <c r="AE188" s="29"/>
      <c r="AF188" s="29"/>
    </row>
    <row r="189" ht="21.75" customHeight="1">
      <c r="A189" s="29"/>
      <c r="B189" s="29"/>
      <c r="C189" s="29"/>
      <c r="D189" s="29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29"/>
      <c r="AA189" s="29"/>
      <c r="AB189" s="29"/>
      <c r="AC189" s="29"/>
      <c r="AD189" s="29"/>
      <c r="AE189" s="29"/>
      <c r="AF189" s="29"/>
    </row>
    <row r="190" ht="21.75" customHeight="1">
      <c r="A190" s="29"/>
      <c r="B190" s="29"/>
      <c r="C190" s="29"/>
      <c r="D190" s="29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29"/>
      <c r="AA190" s="29"/>
      <c r="AB190" s="29"/>
      <c r="AC190" s="29"/>
      <c r="AD190" s="29"/>
      <c r="AE190" s="29"/>
      <c r="AF190" s="29"/>
    </row>
    <row r="191" ht="21.75" customHeight="1">
      <c r="A191" s="29"/>
      <c r="B191" s="29"/>
      <c r="C191" s="29"/>
      <c r="D191" s="29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29"/>
      <c r="AA191" s="29"/>
      <c r="AB191" s="29"/>
      <c r="AC191" s="29"/>
      <c r="AD191" s="29"/>
      <c r="AE191" s="29"/>
      <c r="AF191" s="29"/>
    </row>
    <row r="192" ht="21.75" customHeight="1">
      <c r="A192" s="29"/>
      <c r="B192" s="29"/>
      <c r="C192" s="29"/>
      <c r="D192" s="29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29"/>
      <c r="AA192" s="29"/>
      <c r="AB192" s="29"/>
      <c r="AC192" s="29"/>
      <c r="AD192" s="29"/>
      <c r="AE192" s="29"/>
      <c r="AF192" s="29"/>
    </row>
    <row r="193" ht="21.75" customHeight="1">
      <c r="A193" s="29"/>
      <c r="B193" s="29"/>
      <c r="C193" s="29"/>
      <c r="D193" s="29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29"/>
      <c r="AA193" s="29"/>
      <c r="AB193" s="29"/>
      <c r="AC193" s="29"/>
      <c r="AD193" s="29"/>
      <c r="AE193" s="29"/>
      <c r="AF193" s="29"/>
    </row>
    <row r="194" ht="21.75" customHeight="1">
      <c r="A194" s="29"/>
      <c r="B194" s="29"/>
      <c r="C194" s="29"/>
      <c r="D194" s="29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29"/>
      <c r="AA194" s="29"/>
      <c r="AB194" s="29"/>
      <c r="AC194" s="29"/>
      <c r="AD194" s="29"/>
      <c r="AE194" s="29"/>
      <c r="AF194" s="29"/>
    </row>
    <row r="195" ht="21.75" customHeight="1">
      <c r="A195" s="29"/>
      <c r="B195" s="29"/>
      <c r="C195" s="29"/>
      <c r="D195" s="29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29"/>
      <c r="AA195" s="29"/>
      <c r="AB195" s="29"/>
      <c r="AC195" s="29"/>
      <c r="AD195" s="29"/>
      <c r="AE195" s="29"/>
      <c r="AF195" s="29"/>
    </row>
    <row r="196" ht="21.75" customHeight="1">
      <c r="A196" s="29"/>
      <c r="B196" s="29"/>
      <c r="C196" s="29"/>
      <c r="D196" s="29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29"/>
      <c r="AA196" s="29"/>
      <c r="AB196" s="29"/>
      <c r="AC196" s="29"/>
      <c r="AD196" s="29"/>
      <c r="AE196" s="29"/>
      <c r="AF196" s="29"/>
    </row>
    <row r="197" ht="21.75" customHeight="1">
      <c r="A197" s="29"/>
      <c r="B197" s="29"/>
      <c r="C197" s="29"/>
      <c r="D197" s="29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29"/>
      <c r="AA197" s="29"/>
      <c r="AB197" s="29"/>
      <c r="AC197" s="29"/>
      <c r="AD197" s="29"/>
      <c r="AE197" s="29"/>
      <c r="AF197" s="29"/>
    </row>
    <row r="198" ht="21.75" customHeight="1">
      <c r="A198" s="29"/>
      <c r="B198" s="29"/>
      <c r="C198" s="29"/>
      <c r="D198" s="29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29"/>
      <c r="AA198" s="29"/>
      <c r="AB198" s="29"/>
      <c r="AC198" s="29"/>
      <c r="AD198" s="29"/>
      <c r="AE198" s="29"/>
      <c r="AF198" s="29"/>
    </row>
    <row r="199" ht="21.75" customHeight="1">
      <c r="A199" s="29"/>
      <c r="B199" s="29"/>
      <c r="C199" s="29"/>
      <c r="D199" s="29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29"/>
      <c r="AA199" s="29"/>
      <c r="AB199" s="29"/>
      <c r="AC199" s="29"/>
      <c r="AD199" s="29"/>
      <c r="AE199" s="29"/>
      <c r="AF199" s="29"/>
    </row>
    <row r="200" ht="21.75" customHeight="1">
      <c r="A200" s="29"/>
      <c r="B200" s="29"/>
      <c r="C200" s="29"/>
      <c r="D200" s="29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29"/>
      <c r="AA200" s="29"/>
      <c r="AB200" s="29"/>
      <c r="AC200" s="29"/>
      <c r="AD200" s="29"/>
      <c r="AE200" s="29"/>
      <c r="AF200" s="29"/>
    </row>
    <row r="201" ht="21.75" customHeight="1">
      <c r="A201" s="29"/>
      <c r="B201" s="29"/>
      <c r="C201" s="29"/>
      <c r="D201" s="29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29"/>
      <c r="AA201" s="29"/>
      <c r="AB201" s="29"/>
      <c r="AC201" s="29"/>
      <c r="AD201" s="29"/>
      <c r="AE201" s="29"/>
      <c r="AF201" s="29"/>
    </row>
    <row r="202" ht="21.75" customHeight="1">
      <c r="A202" s="29"/>
      <c r="B202" s="29"/>
      <c r="C202" s="29"/>
      <c r="D202" s="29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29"/>
      <c r="AA202" s="29"/>
      <c r="AB202" s="29"/>
      <c r="AC202" s="29"/>
      <c r="AD202" s="29"/>
      <c r="AE202" s="29"/>
      <c r="AF202" s="29"/>
    </row>
    <row r="203" ht="21.75" customHeight="1">
      <c r="A203" s="29"/>
      <c r="B203" s="29"/>
      <c r="C203" s="29"/>
      <c r="D203" s="29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29"/>
      <c r="AA203" s="29"/>
      <c r="AB203" s="29"/>
      <c r="AC203" s="29"/>
      <c r="AD203" s="29"/>
      <c r="AE203" s="29"/>
      <c r="AF203" s="29"/>
    </row>
    <row r="204" ht="21.75" customHeight="1">
      <c r="A204" s="29"/>
      <c r="B204" s="29"/>
      <c r="C204" s="29"/>
      <c r="D204" s="29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29"/>
      <c r="AA204" s="29"/>
      <c r="AB204" s="29"/>
      <c r="AC204" s="29"/>
      <c r="AD204" s="29"/>
      <c r="AE204" s="29"/>
      <c r="AF204" s="29"/>
    </row>
    <row r="205" ht="21.75" customHeight="1">
      <c r="A205" s="29"/>
      <c r="B205" s="29"/>
      <c r="C205" s="29"/>
      <c r="D205" s="29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29"/>
      <c r="AA205" s="29"/>
      <c r="AB205" s="29"/>
      <c r="AC205" s="29"/>
      <c r="AD205" s="29"/>
      <c r="AE205" s="29"/>
      <c r="AF205" s="29"/>
    </row>
    <row r="206" ht="21.75" customHeight="1">
      <c r="A206" s="29"/>
      <c r="B206" s="29"/>
      <c r="C206" s="29"/>
      <c r="D206" s="29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29"/>
      <c r="AA206" s="29"/>
      <c r="AB206" s="29"/>
      <c r="AC206" s="29"/>
      <c r="AD206" s="29"/>
      <c r="AE206" s="29"/>
      <c r="AF206" s="29"/>
    </row>
    <row r="207" ht="21.75" customHeight="1">
      <c r="A207" s="29"/>
      <c r="B207" s="29"/>
      <c r="C207" s="29"/>
      <c r="D207" s="29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29"/>
      <c r="AA207" s="29"/>
      <c r="AB207" s="29"/>
      <c r="AC207" s="29"/>
      <c r="AD207" s="29"/>
      <c r="AE207" s="29"/>
      <c r="AF207" s="29"/>
    </row>
    <row r="208" ht="21.75" customHeight="1">
      <c r="A208" s="29"/>
      <c r="B208" s="29"/>
      <c r="C208" s="29"/>
      <c r="D208" s="29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29"/>
      <c r="AA208" s="29"/>
      <c r="AB208" s="29"/>
      <c r="AC208" s="29"/>
      <c r="AD208" s="29"/>
      <c r="AE208" s="29"/>
      <c r="AF208" s="29"/>
    </row>
    <row r="209" ht="21.75" customHeight="1">
      <c r="A209" s="29"/>
      <c r="B209" s="29"/>
      <c r="C209" s="29"/>
      <c r="D209" s="29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29"/>
      <c r="AA209" s="29"/>
      <c r="AB209" s="29"/>
      <c r="AC209" s="29"/>
      <c r="AD209" s="29"/>
      <c r="AE209" s="29"/>
      <c r="AF209" s="29"/>
    </row>
    <row r="210" ht="21.75" customHeight="1">
      <c r="A210" s="29"/>
      <c r="B210" s="29"/>
      <c r="C210" s="29"/>
      <c r="D210" s="29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29"/>
      <c r="AA210" s="29"/>
      <c r="AB210" s="29"/>
      <c r="AC210" s="29"/>
      <c r="AD210" s="29"/>
      <c r="AE210" s="29"/>
      <c r="AF210" s="29"/>
    </row>
    <row r="211" ht="21.75" customHeight="1">
      <c r="A211" s="29"/>
      <c r="B211" s="29"/>
      <c r="C211" s="29"/>
      <c r="D211" s="29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29"/>
      <c r="AA211" s="29"/>
      <c r="AB211" s="29"/>
      <c r="AC211" s="29"/>
      <c r="AD211" s="29"/>
      <c r="AE211" s="29"/>
      <c r="AF211" s="29"/>
    </row>
    <row r="212" ht="21.75" customHeight="1">
      <c r="A212" s="29"/>
      <c r="B212" s="29"/>
      <c r="C212" s="29"/>
      <c r="D212" s="29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29"/>
      <c r="AA212" s="29"/>
      <c r="AB212" s="29"/>
      <c r="AC212" s="29"/>
      <c r="AD212" s="29"/>
      <c r="AE212" s="29"/>
      <c r="AF212" s="29"/>
    </row>
    <row r="213" ht="21.75" customHeight="1">
      <c r="A213" s="29"/>
      <c r="B213" s="29"/>
      <c r="C213" s="29"/>
      <c r="D213" s="29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29"/>
      <c r="AA213" s="29"/>
      <c r="AB213" s="29"/>
      <c r="AC213" s="29"/>
      <c r="AD213" s="29"/>
      <c r="AE213" s="29"/>
      <c r="AF213" s="29"/>
    </row>
    <row r="214" ht="21.75" customHeight="1">
      <c r="A214" s="29"/>
      <c r="B214" s="29"/>
      <c r="C214" s="29"/>
      <c r="D214" s="29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29"/>
      <c r="AA214" s="29"/>
      <c r="AB214" s="29"/>
      <c r="AC214" s="29"/>
      <c r="AD214" s="29"/>
      <c r="AE214" s="29"/>
      <c r="AF214" s="29"/>
    </row>
    <row r="215" ht="21.75" customHeight="1">
      <c r="A215" s="29"/>
      <c r="B215" s="29"/>
      <c r="C215" s="29"/>
      <c r="D215" s="29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29"/>
      <c r="AA215" s="29"/>
      <c r="AB215" s="29"/>
      <c r="AC215" s="29"/>
      <c r="AD215" s="29"/>
      <c r="AE215" s="29"/>
      <c r="AF215" s="29"/>
    </row>
    <row r="216" ht="21.75" customHeight="1">
      <c r="A216" s="29"/>
      <c r="B216" s="29"/>
      <c r="C216" s="29"/>
      <c r="D216" s="29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29"/>
      <c r="AA216" s="29"/>
      <c r="AB216" s="29"/>
      <c r="AC216" s="29"/>
      <c r="AD216" s="29"/>
      <c r="AE216" s="29"/>
      <c r="AF216" s="29"/>
    </row>
    <row r="217" ht="21.75" customHeight="1">
      <c r="A217" s="29"/>
      <c r="B217" s="29"/>
      <c r="C217" s="29"/>
      <c r="D217" s="29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29"/>
      <c r="AA217" s="29"/>
      <c r="AB217" s="29"/>
      <c r="AC217" s="29"/>
      <c r="AD217" s="29"/>
      <c r="AE217" s="29"/>
      <c r="AF217" s="29"/>
    </row>
    <row r="218" ht="21.75" customHeight="1">
      <c r="A218" s="29"/>
      <c r="B218" s="29"/>
      <c r="C218" s="29"/>
      <c r="D218" s="29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29"/>
      <c r="AA218" s="29"/>
      <c r="AB218" s="29"/>
      <c r="AC218" s="29"/>
      <c r="AD218" s="29"/>
      <c r="AE218" s="29"/>
      <c r="AF218" s="29"/>
    </row>
    <row r="219" ht="21.75" customHeight="1">
      <c r="A219" s="29"/>
      <c r="B219" s="29"/>
      <c r="C219" s="29"/>
      <c r="D219" s="29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29"/>
      <c r="AA219" s="29"/>
      <c r="AB219" s="29"/>
      <c r="AC219" s="29"/>
      <c r="AD219" s="29"/>
      <c r="AE219" s="29"/>
      <c r="AF219" s="29"/>
    </row>
    <row r="220" ht="21.75" customHeight="1">
      <c r="A220" s="29"/>
      <c r="B220" s="29"/>
      <c r="C220" s="29"/>
      <c r="D220" s="29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29"/>
      <c r="AA220" s="29"/>
      <c r="AB220" s="29"/>
      <c r="AC220" s="29"/>
      <c r="AD220" s="29"/>
      <c r="AE220" s="29"/>
      <c r="AF220" s="29"/>
    </row>
    <row r="221" ht="21.75" customHeight="1">
      <c r="A221" s="29"/>
      <c r="B221" s="29"/>
      <c r="C221" s="29"/>
      <c r="D221" s="29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29"/>
      <c r="AA221" s="29"/>
      <c r="AB221" s="29"/>
      <c r="AC221" s="29"/>
      <c r="AD221" s="29"/>
      <c r="AE221" s="29"/>
      <c r="AF221" s="29"/>
    </row>
    <row r="222" ht="21.75" customHeight="1">
      <c r="A222" s="29"/>
      <c r="B222" s="29"/>
      <c r="C222" s="29"/>
      <c r="D222" s="29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29"/>
      <c r="AA222" s="29"/>
      <c r="AB222" s="29"/>
      <c r="AC222" s="29"/>
      <c r="AD222" s="29"/>
      <c r="AE222" s="29"/>
      <c r="AF222" s="29"/>
    </row>
    <row r="223" ht="21.75" customHeight="1">
      <c r="A223" s="29"/>
      <c r="B223" s="29"/>
      <c r="C223" s="29"/>
      <c r="D223" s="29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29"/>
      <c r="AA223" s="29"/>
      <c r="AB223" s="29"/>
      <c r="AC223" s="29"/>
      <c r="AD223" s="29"/>
      <c r="AE223" s="29"/>
      <c r="AF223" s="29"/>
    </row>
    <row r="224" ht="21.75" customHeight="1">
      <c r="A224" s="29"/>
      <c r="B224" s="29"/>
      <c r="C224" s="29"/>
      <c r="D224" s="29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29"/>
      <c r="AA224" s="29"/>
      <c r="AB224" s="29"/>
      <c r="AC224" s="29"/>
      <c r="AD224" s="29"/>
      <c r="AE224" s="29"/>
      <c r="AF224" s="29"/>
    </row>
    <row r="225" ht="21.75" customHeight="1">
      <c r="A225" s="29"/>
      <c r="B225" s="29"/>
      <c r="C225" s="29"/>
      <c r="D225" s="29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29"/>
      <c r="AA225" s="29"/>
      <c r="AB225" s="29"/>
      <c r="AC225" s="29"/>
      <c r="AD225" s="29"/>
      <c r="AE225" s="29"/>
      <c r="AF225" s="29"/>
    </row>
    <row r="226" ht="21.75" customHeight="1">
      <c r="A226" s="29"/>
      <c r="B226" s="29"/>
      <c r="C226" s="29"/>
      <c r="D226" s="29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29"/>
      <c r="AA226" s="29"/>
      <c r="AB226" s="29"/>
      <c r="AC226" s="29"/>
      <c r="AD226" s="29"/>
      <c r="AE226" s="29"/>
      <c r="AF226" s="29"/>
    </row>
    <row r="227" ht="21.75" customHeight="1">
      <c r="A227" s="29"/>
      <c r="B227" s="29"/>
      <c r="C227" s="29"/>
      <c r="D227" s="29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29"/>
      <c r="AA227" s="29"/>
      <c r="AB227" s="29"/>
      <c r="AC227" s="29"/>
      <c r="AD227" s="29"/>
      <c r="AE227" s="29"/>
      <c r="AF227" s="29"/>
    </row>
    <row r="228" ht="21.75" customHeight="1">
      <c r="A228" s="29"/>
      <c r="B228" s="29"/>
      <c r="C228" s="29"/>
      <c r="D228" s="29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29"/>
      <c r="AA228" s="29"/>
      <c r="AB228" s="29"/>
      <c r="AC228" s="29"/>
      <c r="AD228" s="29"/>
      <c r="AE228" s="29"/>
      <c r="AF228" s="29"/>
    </row>
    <row r="229" ht="21.75" customHeight="1">
      <c r="A229" s="29"/>
      <c r="B229" s="29"/>
      <c r="C229" s="29"/>
      <c r="D229" s="29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29"/>
      <c r="AA229" s="29"/>
      <c r="AB229" s="29"/>
      <c r="AC229" s="29"/>
      <c r="AD229" s="29"/>
      <c r="AE229" s="29"/>
      <c r="AF229" s="29"/>
    </row>
    <row r="230" ht="21.75" customHeight="1">
      <c r="A230" s="29"/>
      <c r="B230" s="29"/>
      <c r="C230" s="29"/>
      <c r="D230" s="29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29"/>
      <c r="AA230" s="29"/>
      <c r="AB230" s="29"/>
      <c r="AC230" s="29"/>
      <c r="AD230" s="29"/>
      <c r="AE230" s="29"/>
      <c r="AF230" s="29"/>
    </row>
    <row r="231" ht="21.75" customHeight="1">
      <c r="A231" s="29"/>
      <c r="B231" s="29"/>
      <c r="C231" s="29"/>
      <c r="D231" s="29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29"/>
      <c r="AA231" s="29"/>
      <c r="AB231" s="29"/>
      <c r="AC231" s="29"/>
      <c r="AD231" s="29"/>
      <c r="AE231" s="29"/>
      <c r="AF231" s="29"/>
    </row>
    <row r="232" ht="21.75" customHeight="1">
      <c r="A232" s="29"/>
      <c r="B232" s="29"/>
      <c r="C232" s="29"/>
      <c r="D232" s="29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29"/>
      <c r="AA232" s="29"/>
      <c r="AB232" s="29"/>
      <c r="AC232" s="29"/>
      <c r="AD232" s="29"/>
      <c r="AE232" s="29"/>
      <c r="AF232" s="29"/>
    </row>
    <row r="233" ht="21.75" customHeight="1">
      <c r="A233" s="29"/>
      <c r="B233" s="29"/>
      <c r="C233" s="29"/>
      <c r="D233" s="29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29"/>
      <c r="AA233" s="29"/>
      <c r="AB233" s="29"/>
      <c r="AC233" s="29"/>
      <c r="AD233" s="29"/>
      <c r="AE233" s="29"/>
      <c r="AF233" s="29"/>
    </row>
    <row r="234" ht="21.75" customHeight="1">
      <c r="A234" s="29"/>
      <c r="B234" s="29"/>
      <c r="C234" s="29"/>
      <c r="D234" s="29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29"/>
      <c r="AA234" s="29"/>
      <c r="AB234" s="29"/>
      <c r="AC234" s="29"/>
      <c r="AD234" s="29"/>
      <c r="AE234" s="29"/>
      <c r="AF234" s="29"/>
    </row>
    <row r="235" ht="21.75" customHeight="1">
      <c r="A235" s="29"/>
      <c r="B235" s="29"/>
      <c r="C235" s="29"/>
      <c r="D235" s="29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29"/>
      <c r="AA235" s="29"/>
      <c r="AB235" s="29"/>
      <c r="AC235" s="29"/>
      <c r="AD235" s="29"/>
      <c r="AE235" s="29"/>
      <c r="AF235" s="29"/>
    </row>
    <row r="236" ht="21.75" customHeight="1">
      <c r="A236" s="29"/>
      <c r="B236" s="29"/>
      <c r="C236" s="29"/>
      <c r="D236" s="29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29"/>
      <c r="AA236" s="29"/>
      <c r="AB236" s="29"/>
      <c r="AC236" s="29"/>
      <c r="AD236" s="29"/>
      <c r="AE236" s="29"/>
      <c r="AF236" s="29"/>
    </row>
    <row r="237" ht="21.75" customHeight="1">
      <c r="A237" s="29"/>
      <c r="B237" s="29"/>
      <c r="C237" s="29"/>
      <c r="D237" s="29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29"/>
      <c r="AA237" s="29"/>
      <c r="AB237" s="29"/>
      <c r="AC237" s="29"/>
      <c r="AD237" s="29"/>
      <c r="AE237" s="29"/>
      <c r="AF237" s="29"/>
    </row>
    <row r="238" ht="21.75" customHeight="1">
      <c r="A238" s="29"/>
      <c r="B238" s="29"/>
      <c r="C238" s="29"/>
      <c r="D238" s="29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29"/>
      <c r="AA238" s="29"/>
      <c r="AB238" s="29"/>
      <c r="AC238" s="29"/>
      <c r="AD238" s="29"/>
      <c r="AE238" s="29"/>
      <c r="AF238" s="29"/>
    </row>
    <row r="239" ht="21.75" customHeight="1">
      <c r="A239" s="29"/>
      <c r="B239" s="29"/>
      <c r="C239" s="29"/>
      <c r="D239" s="29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29"/>
      <c r="AA239" s="29"/>
      <c r="AB239" s="29"/>
      <c r="AC239" s="29"/>
      <c r="AD239" s="29"/>
      <c r="AE239" s="29"/>
      <c r="AF239" s="29"/>
    </row>
    <row r="240" ht="21.75" customHeight="1">
      <c r="A240" s="29"/>
      <c r="B240" s="29"/>
      <c r="C240" s="29"/>
      <c r="D240" s="29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29"/>
      <c r="AA240" s="29"/>
      <c r="AB240" s="29"/>
      <c r="AC240" s="29"/>
      <c r="AD240" s="29"/>
      <c r="AE240" s="29"/>
      <c r="AF240" s="29"/>
    </row>
    <row r="241" ht="21.75" customHeight="1">
      <c r="A241" s="29"/>
      <c r="B241" s="29"/>
      <c r="C241" s="29"/>
      <c r="D241" s="29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29"/>
      <c r="AA241" s="29"/>
      <c r="AB241" s="29"/>
      <c r="AC241" s="29"/>
      <c r="AD241" s="29"/>
      <c r="AE241" s="29"/>
      <c r="AF241" s="29"/>
    </row>
    <row r="242" ht="21.75" customHeight="1">
      <c r="A242" s="29"/>
      <c r="B242" s="29"/>
      <c r="C242" s="29"/>
      <c r="D242" s="29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29"/>
      <c r="AA242" s="29"/>
      <c r="AB242" s="29"/>
      <c r="AC242" s="29"/>
      <c r="AD242" s="29"/>
      <c r="AE242" s="29"/>
      <c r="AF242" s="29"/>
    </row>
    <row r="243" ht="21.75" customHeight="1">
      <c r="A243" s="29"/>
      <c r="B243" s="29"/>
      <c r="C243" s="29"/>
      <c r="D243" s="29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29"/>
      <c r="AA243" s="29"/>
      <c r="AB243" s="29"/>
      <c r="AC243" s="29"/>
      <c r="AD243" s="29"/>
      <c r="AE243" s="29"/>
      <c r="AF243" s="29"/>
    </row>
    <row r="244" ht="21.75" customHeight="1">
      <c r="A244" s="29"/>
      <c r="B244" s="29"/>
      <c r="C244" s="29"/>
      <c r="D244" s="29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29"/>
      <c r="AA244" s="29"/>
      <c r="AB244" s="29"/>
      <c r="AC244" s="29"/>
      <c r="AD244" s="29"/>
      <c r="AE244" s="29"/>
      <c r="AF244" s="29"/>
    </row>
    <row r="245" ht="21.75" customHeight="1">
      <c r="A245" s="29"/>
      <c r="B245" s="29"/>
      <c r="C245" s="29"/>
      <c r="D245" s="29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29"/>
      <c r="AA245" s="29"/>
      <c r="AB245" s="29"/>
      <c r="AC245" s="29"/>
      <c r="AD245" s="29"/>
      <c r="AE245" s="29"/>
      <c r="AF245" s="29"/>
    </row>
    <row r="246" ht="21.75" customHeight="1">
      <c r="A246" s="29"/>
      <c r="B246" s="29"/>
      <c r="C246" s="29"/>
      <c r="D246" s="29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29"/>
      <c r="AA246" s="29"/>
      <c r="AB246" s="29"/>
      <c r="AC246" s="29"/>
      <c r="AD246" s="29"/>
      <c r="AE246" s="29"/>
      <c r="AF246" s="29"/>
    </row>
    <row r="247" ht="21.75" customHeight="1">
      <c r="A247" s="29"/>
      <c r="B247" s="29"/>
      <c r="C247" s="29"/>
      <c r="D247" s="29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29"/>
      <c r="AA247" s="29"/>
      <c r="AB247" s="29"/>
      <c r="AC247" s="29"/>
      <c r="AD247" s="29"/>
      <c r="AE247" s="29"/>
      <c r="AF247" s="29"/>
    </row>
    <row r="248" ht="21.75" customHeight="1">
      <c r="A248" s="29"/>
      <c r="B248" s="29"/>
      <c r="C248" s="29"/>
      <c r="D248" s="29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29"/>
      <c r="AA248" s="29"/>
      <c r="AB248" s="29"/>
      <c r="AC248" s="29"/>
      <c r="AD248" s="29"/>
      <c r="AE248" s="29"/>
      <c r="AF248" s="29"/>
    </row>
    <row r="249" ht="21.75" customHeight="1">
      <c r="A249" s="29"/>
      <c r="B249" s="29"/>
      <c r="C249" s="29"/>
      <c r="D249" s="29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29"/>
      <c r="AA249" s="29"/>
      <c r="AB249" s="29"/>
      <c r="AC249" s="29"/>
      <c r="AD249" s="29"/>
      <c r="AE249" s="29"/>
      <c r="AF249" s="29"/>
    </row>
    <row r="250" ht="21.75" customHeight="1">
      <c r="A250" s="29"/>
      <c r="B250" s="29"/>
      <c r="C250" s="29"/>
      <c r="D250" s="29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29"/>
      <c r="AA250" s="29"/>
      <c r="AB250" s="29"/>
      <c r="AC250" s="29"/>
      <c r="AD250" s="29"/>
      <c r="AE250" s="29"/>
      <c r="AF250" s="29"/>
    </row>
    <row r="251" ht="21.75" customHeight="1">
      <c r="A251" s="29"/>
      <c r="B251" s="29"/>
      <c r="C251" s="29"/>
      <c r="D251" s="29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29"/>
      <c r="AA251" s="29"/>
      <c r="AB251" s="29"/>
      <c r="AC251" s="29"/>
      <c r="AD251" s="29"/>
      <c r="AE251" s="29"/>
      <c r="AF251" s="29"/>
    </row>
    <row r="252" ht="21.75" customHeight="1">
      <c r="A252" s="29"/>
      <c r="B252" s="29"/>
      <c r="C252" s="29"/>
      <c r="D252" s="29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29"/>
      <c r="AA252" s="29"/>
      <c r="AB252" s="29"/>
      <c r="AC252" s="29"/>
      <c r="AD252" s="29"/>
      <c r="AE252" s="29"/>
      <c r="AF252" s="29"/>
    </row>
    <row r="253" ht="21.75" customHeight="1">
      <c r="A253" s="29"/>
      <c r="B253" s="29"/>
      <c r="C253" s="29"/>
      <c r="D253" s="29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29"/>
      <c r="AA253" s="29"/>
      <c r="AB253" s="29"/>
      <c r="AC253" s="29"/>
      <c r="AD253" s="29"/>
      <c r="AE253" s="29"/>
      <c r="AF253" s="29"/>
    </row>
    <row r="254" ht="21.75" customHeight="1">
      <c r="A254" s="29"/>
      <c r="B254" s="29"/>
      <c r="C254" s="29"/>
      <c r="D254" s="29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29"/>
      <c r="AA254" s="29"/>
      <c r="AB254" s="29"/>
      <c r="AC254" s="29"/>
      <c r="AD254" s="29"/>
      <c r="AE254" s="29"/>
      <c r="AF254" s="29"/>
    </row>
    <row r="255" ht="21.75" customHeight="1">
      <c r="A255" s="29"/>
      <c r="B255" s="29"/>
      <c r="C255" s="29"/>
      <c r="D255" s="29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29"/>
      <c r="AA255" s="29"/>
      <c r="AB255" s="29"/>
      <c r="AC255" s="29"/>
      <c r="AD255" s="29"/>
      <c r="AE255" s="29"/>
      <c r="AF255" s="29"/>
    </row>
    <row r="256" ht="21.75" customHeight="1">
      <c r="A256" s="29"/>
      <c r="B256" s="29"/>
      <c r="C256" s="29"/>
      <c r="D256" s="29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29"/>
      <c r="AA256" s="29"/>
      <c r="AB256" s="29"/>
      <c r="AC256" s="29"/>
      <c r="AD256" s="29"/>
      <c r="AE256" s="29"/>
      <c r="AF256" s="29"/>
    </row>
    <row r="257" ht="21.75" customHeight="1">
      <c r="A257" s="29"/>
      <c r="B257" s="29"/>
      <c r="C257" s="29"/>
      <c r="D257" s="29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29"/>
      <c r="AA257" s="29"/>
      <c r="AB257" s="29"/>
      <c r="AC257" s="29"/>
      <c r="AD257" s="29"/>
      <c r="AE257" s="29"/>
      <c r="AF257" s="29"/>
    </row>
    <row r="258" ht="21.75" customHeight="1">
      <c r="A258" s="29"/>
      <c r="B258" s="29"/>
      <c r="C258" s="29"/>
      <c r="D258" s="29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29"/>
      <c r="AA258" s="29"/>
      <c r="AB258" s="29"/>
      <c r="AC258" s="29"/>
      <c r="AD258" s="29"/>
      <c r="AE258" s="29"/>
      <c r="AF258" s="29"/>
    </row>
    <row r="259" ht="21.75" customHeight="1">
      <c r="A259" s="29"/>
      <c r="B259" s="29"/>
      <c r="C259" s="29"/>
      <c r="D259" s="29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29"/>
      <c r="AA259" s="29"/>
      <c r="AB259" s="29"/>
      <c r="AC259" s="29"/>
      <c r="AD259" s="29"/>
      <c r="AE259" s="29"/>
      <c r="AF259" s="29"/>
    </row>
    <row r="260" ht="21.75" customHeight="1">
      <c r="A260" s="29"/>
      <c r="B260" s="29"/>
      <c r="C260" s="29"/>
      <c r="D260" s="29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29"/>
      <c r="AA260" s="29"/>
      <c r="AB260" s="29"/>
      <c r="AC260" s="29"/>
      <c r="AD260" s="29"/>
      <c r="AE260" s="29"/>
      <c r="AF260" s="29"/>
    </row>
    <row r="261" ht="21.75" customHeight="1">
      <c r="A261" s="29"/>
      <c r="B261" s="29"/>
      <c r="C261" s="29"/>
      <c r="D261" s="29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29"/>
      <c r="AA261" s="29"/>
      <c r="AB261" s="29"/>
      <c r="AC261" s="29"/>
      <c r="AD261" s="29"/>
      <c r="AE261" s="29"/>
      <c r="AF261" s="29"/>
    </row>
    <row r="262" ht="21.75" customHeight="1">
      <c r="A262" s="29"/>
      <c r="B262" s="29"/>
      <c r="C262" s="29"/>
      <c r="D262" s="29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29"/>
      <c r="AA262" s="29"/>
      <c r="AB262" s="29"/>
      <c r="AC262" s="29"/>
      <c r="AD262" s="29"/>
      <c r="AE262" s="29"/>
      <c r="AF262" s="29"/>
    </row>
    <row r="263" ht="21.75" customHeight="1">
      <c r="A263" s="29"/>
      <c r="B263" s="29"/>
      <c r="C263" s="29"/>
      <c r="D263" s="29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29"/>
      <c r="AA263" s="29"/>
      <c r="AB263" s="29"/>
      <c r="AC263" s="29"/>
      <c r="AD263" s="29"/>
      <c r="AE263" s="29"/>
      <c r="AF263" s="29"/>
    </row>
    <row r="264" ht="21.75" customHeight="1">
      <c r="A264" s="29"/>
      <c r="B264" s="29"/>
      <c r="C264" s="29"/>
      <c r="D264" s="29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29"/>
      <c r="AA264" s="29"/>
      <c r="AB264" s="29"/>
      <c r="AC264" s="29"/>
      <c r="AD264" s="29"/>
      <c r="AE264" s="29"/>
      <c r="AF264" s="29"/>
    </row>
    <row r="265" ht="21.75" customHeight="1">
      <c r="A265" s="29"/>
      <c r="B265" s="29"/>
      <c r="C265" s="29"/>
      <c r="D265" s="29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29"/>
      <c r="AA265" s="29"/>
      <c r="AB265" s="29"/>
      <c r="AC265" s="29"/>
      <c r="AD265" s="29"/>
      <c r="AE265" s="29"/>
      <c r="AF265" s="29"/>
    </row>
    <row r="266" ht="21.75" customHeight="1">
      <c r="A266" s="29"/>
      <c r="B266" s="29"/>
      <c r="C266" s="29"/>
      <c r="D266" s="29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29"/>
      <c r="AA266" s="29"/>
      <c r="AB266" s="29"/>
      <c r="AC266" s="29"/>
      <c r="AD266" s="29"/>
      <c r="AE266" s="29"/>
      <c r="AF266" s="29"/>
    </row>
    <row r="267" ht="21.75" customHeight="1">
      <c r="A267" s="29"/>
      <c r="B267" s="29"/>
      <c r="C267" s="29"/>
      <c r="D267" s="29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29"/>
      <c r="AA267" s="29"/>
      <c r="AB267" s="29"/>
      <c r="AC267" s="29"/>
      <c r="AD267" s="29"/>
      <c r="AE267" s="29"/>
      <c r="AF267" s="29"/>
    </row>
    <row r="268" ht="21.75" customHeight="1">
      <c r="A268" s="29"/>
      <c r="B268" s="29"/>
      <c r="C268" s="29"/>
      <c r="D268" s="29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29"/>
      <c r="AA268" s="29"/>
      <c r="AB268" s="29"/>
      <c r="AC268" s="29"/>
      <c r="AD268" s="29"/>
      <c r="AE268" s="29"/>
      <c r="AF268" s="29"/>
    </row>
    <row r="269" ht="21.75" customHeight="1">
      <c r="A269" s="29"/>
      <c r="B269" s="29"/>
      <c r="C269" s="29"/>
      <c r="D269" s="29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29"/>
      <c r="AA269" s="29"/>
      <c r="AB269" s="29"/>
      <c r="AC269" s="29"/>
      <c r="AD269" s="29"/>
      <c r="AE269" s="29"/>
      <c r="AF269" s="29"/>
    </row>
    <row r="270" ht="21.75" customHeight="1">
      <c r="A270" s="29"/>
      <c r="B270" s="29"/>
      <c r="C270" s="29"/>
      <c r="D270" s="29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29"/>
      <c r="AA270" s="29"/>
      <c r="AB270" s="29"/>
      <c r="AC270" s="29"/>
      <c r="AD270" s="29"/>
      <c r="AE270" s="29"/>
      <c r="AF270" s="29"/>
    </row>
    <row r="271" ht="21.75" customHeight="1">
      <c r="A271" s="29"/>
      <c r="B271" s="29"/>
      <c r="C271" s="29"/>
      <c r="D271" s="29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29"/>
      <c r="AA271" s="29"/>
      <c r="AB271" s="29"/>
      <c r="AC271" s="29"/>
      <c r="AD271" s="29"/>
      <c r="AE271" s="29"/>
      <c r="AF271" s="29"/>
    </row>
    <row r="272" ht="21.75" customHeight="1">
      <c r="A272" s="29"/>
      <c r="B272" s="29"/>
      <c r="C272" s="29"/>
      <c r="D272" s="29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29"/>
      <c r="AA272" s="29"/>
      <c r="AB272" s="29"/>
      <c r="AC272" s="29"/>
      <c r="AD272" s="29"/>
      <c r="AE272" s="29"/>
      <c r="AF272" s="29"/>
    </row>
    <row r="273" ht="21.75" customHeight="1">
      <c r="A273" s="29"/>
      <c r="B273" s="29"/>
      <c r="C273" s="29"/>
      <c r="D273" s="29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29"/>
      <c r="AA273" s="29"/>
      <c r="AB273" s="29"/>
      <c r="AC273" s="29"/>
      <c r="AD273" s="29"/>
      <c r="AE273" s="29"/>
      <c r="AF273" s="29"/>
    </row>
    <row r="274" ht="21.75" customHeight="1">
      <c r="A274" s="29"/>
      <c r="B274" s="29"/>
      <c r="C274" s="29"/>
      <c r="D274" s="29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29"/>
      <c r="AA274" s="29"/>
      <c r="AB274" s="29"/>
      <c r="AC274" s="29"/>
      <c r="AD274" s="29"/>
      <c r="AE274" s="29"/>
      <c r="AF274" s="29"/>
    </row>
    <row r="275" ht="21.75" customHeight="1">
      <c r="A275" s="29"/>
      <c r="B275" s="29"/>
      <c r="C275" s="29"/>
      <c r="D275" s="29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29"/>
      <c r="AA275" s="29"/>
      <c r="AB275" s="29"/>
      <c r="AC275" s="29"/>
      <c r="AD275" s="29"/>
      <c r="AE275" s="29"/>
      <c r="AF275" s="29"/>
    </row>
    <row r="276" ht="21.75" customHeight="1">
      <c r="A276" s="29"/>
      <c r="B276" s="29"/>
      <c r="C276" s="29"/>
      <c r="D276" s="29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29"/>
      <c r="AA276" s="29"/>
      <c r="AB276" s="29"/>
      <c r="AC276" s="29"/>
      <c r="AD276" s="29"/>
      <c r="AE276" s="29"/>
      <c r="AF276" s="29"/>
    </row>
    <row r="277" ht="21.75" customHeight="1">
      <c r="A277" s="29"/>
      <c r="B277" s="29"/>
      <c r="C277" s="29"/>
      <c r="D277" s="29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29"/>
      <c r="AA277" s="29"/>
      <c r="AB277" s="29"/>
      <c r="AC277" s="29"/>
      <c r="AD277" s="29"/>
      <c r="AE277" s="29"/>
      <c r="AF277" s="29"/>
    </row>
    <row r="278" ht="21.75" customHeight="1">
      <c r="A278" s="29"/>
      <c r="B278" s="29"/>
      <c r="C278" s="29"/>
      <c r="D278" s="29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29"/>
      <c r="AA278" s="29"/>
      <c r="AB278" s="29"/>
      <c r="AC278" s="29"/>
      <c r="AD278" s="29"/>
      <c r="AE278" s="29"/>
      <c r="AF278" s="29"/>
    </row>
    <row r="279" ht="21.75" customHeight="1">
      <c r="A279" s="29"/>
      <c r="B279" s="29"/>
      <c r="C279" s="29"/>
      <c r="D279" s="29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29"/>
      <c r="AA279" s="29"/>
      <c r="AB279" s="29"/>
      <c r="AC279" s="29"/>
      <c r="AD279" s="29"/>
      <c r="AE279" s="29"/>
      <c r="AF279" s="29"/>
    </row>
    <row r="280" ht="21.75" customHeight="1">
      <c r="A280" s="29"/>
      <c r="B280" s="29"/>
      <c r="C280" s="29"/>
      <c r="D280" s="29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29"/>
      <c r="AA280" s="29"/>
      <c r="AB280" s="29"/>
      <c r="AC280" s="29"/>
      <c r="AD280" s="29"/>
      <c r="AE280" s="29"/>
      <c r="AF280" s="29"/>
    </row>
    <row r="281" ht="21.75" customHeight="1">
      <c r="A281" s="29"/>
      <c r="B281" s="29"/>
      <c r="C281" s="29"/>
      <c r="D281" s="29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29"/>
      <c r="AA281" s="29"/>
      <c r="AB281" s="29"/>
      <c r="AC281" s="29"/>
      <c r="AD281" s="29"/>
      <c r="AE281" s="29"/>
      <c r="AF281" s="29"/>
    </row>
    <row r="282" ht="21.75" customHeight="1">
      <c r="A282" s="29"/>
      <c r="B282" s="29"/>
      <c r="C282" s="29"/>
      <c r="D282" s="29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29"/>
      <c r="AA282" s="29"/>
      <c r="AB282" s="29"/>
      <c r="AC282" s="29"/>
      <c r="AD282" s="29"/>
      <c r="AE282" s="29"/>
      <c r="AF282" s="29"/>
    </row>
    <row r="283" ht="21.75" customHeight="1">
      <c r="A283" s="29"/>
      <c r="B283" s="29"/>
      <c r="C283" s="29"/>
      <c r="D283" s="29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29"/>
      <c r="AA283" s="29"/>
      <c r="AB283" s="29"/>
      <c r="AC283" s="29"/>
      <c r="AD283" s="29"/>
      <c r="AE283" s="29"/>
      <c r="AF283" s="29"/>
    </row>
    <row r="284" ht="21.75" customHeight="1">
      <c r="A284" s="29"/>
      <c r="B284" s="29"/>
      <c r="C284" s="29"/>
      <c r="D284" s="29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29"/>
      <c r="AA284" s="29"/>
      <c r="AB284" s="29"/>
      <c r="AC284" s="29"/>
      <c r="AD284" s="29"/>
      <c r="AE284" s="29"/>
      <c r="AF284" s="29"/>
    </row>
    <row r="285" ht="21.75" customHeight="1">
      <c r="A285" s="29"/>
      <c r="B285" s="29"/>
      <c r="C285" s="29"/>
      <c r="D285" s="29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29"/>
      <c r="AA285" s="29"/>
      <c r="AB285" s="29"/>
      <c r="AC285" s="29"/>
      <c r="AD285" s="29"/>
      <c r="AE285" s="29"/>
      <c r="AF285" s="29"/>
    </row>
    <row r="286" ht="21.75" customHeight="1">
      <c r="A286" s="29"/>
      <c r="B286" s="29"/>
      <c r="C286" s="29"/>
      <c r="D286" s="29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29"/>
      <c r="AA286" s="29"/>
      <c r="AB286" s="29"/>
      <c r="AC286" s="29"/>
      <c r="AD286" s="29"/>
      <c r="AE286" s="29"/>
      <c r="AF286" s="29"/>
    </row>
    <row r="287" ht="21.75" customHeight="1">
      <c r="A287" s="29"/>
      <c r="B287" s="29"/>
      <c r="C287" s="29"/>
      <c r="D287" s="29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29"/>
      <c r="AA287" s="29"/>
      <c r="AB287" s="29"/>
      <c r="AC287" s="29"/>
      <c r="AD287" s="29"/>
      <c r="AE287" s="29"/>
      <c r="AF287" s="29"/>
    </row>
    <row r="288" ht="21.75" customHeight="1">
      <c r="A288" s="29"/>
      <c r="B288" s="29"/>
      <c r="C288" s="29"/>
      <c r="D288" s="29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29"/>
      <c r="AA288" s="29"/>
      <c r="AB288" s="29"/>
      <c r="AC288" s="29"/>
      <c r="AD288" s="29"/>
      <c r="AE288" s="29"/>
      <c r="AF288" s="29"/>
    </row>
    <row r="289" ht="21.75" customHeight="1">
      <c r="A289" s="29"/>
      <c r="B289" s="29"/>
      <c r="C289" s="29"/>
      <c r="D289" s="29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29"/>
      <c r="AA289" s="29"/>
      <c r="AB289" s="29"/>
      <c r="AC289" s="29"/>
      <c r="AD289" s="29"/>
      <c r="AE289" s="29"/>
      <c r="AF289" s="29"/>
    </row>
    <row r="290" ht="21.75" customHeight="1">
      <c r="A290" s="29"/>
      <c r="B290" s="29"/>
      <c r="C290" s="29"/>
      <c r="D290" s="29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29"/>
      <c r="AA290" s="29"/>
      <c r="AB290" s="29"/>
      <c r="AC290" s="29"/>
      <c r="AD290" s="29"/>
      <c r="AE290" s="29"/>
      <c r="AF290" s="29"/>
    </row>
    <row r="291" ht="21.75" customHeight="1">
      <c r="A291" s="29"/>
      <c r="B291" s="29"/>
      <c r="C291" s="29"/>
      <c r="D291" s="29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29"/>
      <c r="AA291" s="29"/>
      <c r="AB291" s="29"/>
      <c r="AC291" s="29"/>
      <c r="AD291" s="29"/>
      <c r="AE291" s="29"/>
      <c r="AF291" s="29"/>
    </row>
    <row r="292" ht="21.75" customHeight="1">
      <c r="A292" s="29"/>
      <c r="B292" s="29"/>
      <c r="C292" s="29"/>
      <c r="D292" s="29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29"/>
      <c r="AA292" s="29"/>
      <c r="AB292" s="29"/>
      <c r="AC292" s="29"/>
      <c r="AD292" s="29"/>
      <c r="AE292" s="29"/>
      <c r="AF292" s="29"/>
    </row>
    <row r="293" ht="21.75" customHeight="1">
      <c r="A293" s="29"/>
      <c r="B293" s="29"/>
      <c r="C293" s="29"/>
      <c r="D293" s="29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29"/>
      <c r="AA293" s="29"/>
      <c r="AB293" s="29"/>
      <c r="AC293" s="29"/>
      <c r="AD293" s="29"/>
      <c r="AE293" s="29"/>
      <c r="AF293" s="29"/>
    </row>
    <row r="294" ht="21.75" customHeight="1">
      <c r="A294" s="29"/>
      <c r="B294" s="29"/>
      <c r="C294" s="29"/>
      <c r="D294" s="29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29"/>
      <c r="AA294" s="29"/>
      <c r="AB294" s="29"/>
      <c r="AC294" s="29"/>
      <c r="AD294" s="29"/>
      <c r="AE294" s="29"/>
      <c r="AF294" s="29"/>
    </row>
    <row r="295" ht="21.75" customHeight="1">
      <c r="A295" s="29"/>
      <c r="B295" s="29"/>
      <c r="C295" s="29"/>
      <c r="D295" s="29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29"/>
      <c r="AA295" s="29"/>
      <c r="AB295" s="29"/>
      <c r="AC295" s="29"/>
      <c r="AD295" s="29"/>
      <c r="AE295" s="29"/>
      <c r="AF295" s="29"/>
    </row>
    <row r="296" ht="21.75" customHeight="1">
      <c r="A296" s="29"/>
      <c r="B296" s="29"/>
      <c r="C296" s="29"/>
      <c r="D296" s="29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29"/>
      <c r="AA296" s="29"/>
      <c r="AB296" s="29"/>
      <c r="AC296" s="29"/>
      <c r="AD296" s="29"/>
      <c r="AE296" s="29"/>
      <c r="AF296" s="29"/>
    </row>
    <row r="297" ht="21.75" customHeight="1">
      <c r="A297" s="29"/>
      <c r="B297" s="29"/>
      <c r="C297" s="29"/>
      <c r="D297" s="29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29"/>
      <c r="AA297" s="29"/>
      <c r="AB297" s="29"/>
      <c r="AC297" s="29"/>
      <c r="AD297" s="29"/>
      <c r="AE297" s="29"/>
      <c r="AF297" s="29"/>
    </row>
    <row r="298" ht="21.75" customHeight="1">
      <c r="A298" s="29"/>
      <c r="B298" s="29"/>
      <c r="C298" s="29"/>
      <c r="D298" s="29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29"/>
      <c r="AA298" s="29"/>
      <c r="AB298" s="29"/>
      <c r="AC298" s="29"/>
      <c r="AD298" s="29"/>
      <c r="AE298" s="29"/>
      <c r="AF298" s="29"/>
    </row>
    <row r="299" ht="21.75" customHeight="1">
      <c r="A299" s="29"/>
      <c r="B299" s="29"/>
      <c r="C299" s="29"/>
      <c r="D299" s="29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29"/>
      <c r="AA299" s="29"/>
      <c r="AB299" s="29"/>
      <c r="AC299" s="29"/>
      <c r="AD299" s="29"/>
      <c r="AE299" s="29"/>
      <c r="AF299" s="29"/>
    </row>
    <row r="300" ht="21.75" customHeight="1">
      <c r="A300" s="29"/>
      <c r="B300" s="29"/>
      <c r="C300" s="29"/>
      <c r="D300" s="29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29"/>
      <c r="AA300" s="29"/>
      <c r="AB300" s="29"/>
      <c r="AC300" s="29"/>
      <c r="AD300" s="29"/>
      <c r="AE300" s="29"/>
      <c r="AF300" s="29"/>
    </row>
    <row r="301" ht="21.75" customHeight="1">
      <c r="A301" s="29"/>
      <c r="B301" s="29"/>
      <c r="C301" s="29"/>
      <c r="D301" s="29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29"/>
      <c r="AA301" s="29"/>
      <c r="AB301" s="29"/>
      <c r="AC301" s="29"/>
      <c r="AD301" s="29"/>
      <c r="AE301" s="29"/>
      <c r="AF301" s="29"/>
    </row>
    <row r="302" ht="21.75" customHeight="1">
      <c r="A302" s="29"/>
      <c r="B302" s="29"/>
      <c r="C302" s="29"/>
      <c r="D302" s="29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29"/>
      <c r="AA302" s="29"/>
      <c r="AB302" s="29"/>
      <c r="AC302" s="29"/>
      <c r="AD302" s="29"/>
      <c r="AE302" s="29"/>
      <c r="AF302" s="29"/>
    </row>
    <row r="303" ht="21.75" customHeight="1">
      <c r="A303" s="29"/>
      <c r="B303" s="29"/>
      <c r="C303" s="29"/>
      <c r="D303" s="29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29"/>
      <c r="AA303" s="29"/>
      <c r="AB303" s="29"/>
      <c r="AC303" s="29"/>
      <c r="AD303" s="29"/>
      <c r="AE303" s="29"/>
      <c r="AF303" s="29"/>
    </row>
    <row r="304" ht="21.75" customHeight="1">
      <c r="A304" s="29"/>
      <c r="B304" s="29"/>
      <c r="C304" s="29"/>
      <c r="D304" s="29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29"/>
      <c r="AA304" s="29"/>
      <c r="AB304" s="29"/>
      <c r="AC304" s="29"/>
      <c r="AD304" s="29"/>
      <c r="AE304" s="29"/>
      <c r="AF304" s="29"/>
    </row>
    <row r="305" ht="21.75" customHeight="1">
      <c r="A305" s="29"/>
      <c r="B305" s="29"/>
      <c r="C305" s="29"/>
      <c r="D305" s="29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29"/>
      <c r="AA305" s="29"/>
      <c r="AB305" s="29"/>
      <c r="AC305" s="29"/>
      <c r="AD305" s="29"/>
      <c r="AE305" s="29"/>
      <c r="AF305" s="29"/>
    </row>
    <row r="306" ht="21.75" customHeight="1">
      <c r="A306" s="29"/>
      <c r="B306" s="29"/>
      <c r="C306" s="29"/>
      <c r="D306" s="29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29"/>
      <c r="AA306" s="29"/>
      <c r="AB306" s="29"/>
      <c r="AC306" s="29"/>
      <c r="AD306" s="29"/>
      <c r="AE306" s="29"/>
      <c r="AF306" s="29"/>
    </row>
    <row r="307" ht="21.75" customHeight="1">
      <c r="A307" s="29"/>
      <c r="B307" s="29"/>
      <c r="C307" s="29"/>
      <c r="D307" s="29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29"/>
      <c r="AA307" s="29"/>
      <c r="AB307" s="29"/>
      <c r="AC307" s="29"/>
      <c r="AD307" s="29"/>
      <c r="AE307" s="29"/>
      <c r="AF307" s="29"/>
    </row>
    <row r="308" ht="21.75" customHeight="1">
      <c r="A308" s="29"/>
      <c r="B308" s="29"/>
      <c r="C308" s="29"/>
      <c r="D308" s="29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29"/>
      <c r="AA308" s="29"/>
      <c r="AB308" s="29"/>
      <c r="AC308" s="29"/>
      <c r="AD308" s="29"/>
      <c r="AE308" s="29"/>
      <c r="AF308" s="29"/>
    </row>
    <row r="309" ht="21.75" customHeight="1">
      <c r="A309" s="29"/>
      <c r="B309" s="29"/>
      <c r="C309" s="29"/>
      <c r="D309" s="29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29"/>
      <c r="AA309" s="29"/>
      <c r="AB309" s="29"/>
      <c r="AC309" s="29"/>
      <c r="AD309" s="29"/>
      <c r="AE309" s="29"/>
      <c r="AF309" s="29"/>
    </row>
    <row r="310" ht="21.75" customHeight="1">
      <c r="A310" s="29"/>
      <c r="B310" s="29"/>
      <c r="C310" s="29"/>
      <c r="D310" s="29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29"/>
      <c r="AA310" s="29"/>
      <c r="AB310" s="29"/>
      <c r="AC310" s="29"/>
      <c r="AD310" s="29"/>
      <c r="AE310" s="29"/>
      <c r="AF310" s="29"/>
    </row>
    <row r="311" ht="21.75" customHeight="1">
      <c r="A311" s="29"/>
      <c r="B311" s="29"/>
      <c r="C311" s="29"/>
      <c r="D311" s="29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29"/>
      <c r="AA311" s="29"/>
      <c r="AB311" s="29"/>
      <c r="AC311" s="29"/>
      <c r="AD311" s="29"/>
      <c r="AE311" s="29"/>
      <c r="AF311" s="29"/>
    </row>
    <row r="312" ht="21.75" customHeight="1">
      <c r="A312" s="29"/>
      <c r="B312" s="29"/>
      <c r="C312" s="29"/>
      <c r="D312" s="29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29"/>
      <c r="AA312" s="29"/>
      <c r="AB312" s="29"/>
      <c r="AC312" s="29"/>
      <c r="AD312" s="29"/>
      <c r="AE312" s="29"/>
      <c r="AF312" s="29"/>
    </row>
    <row r="313" ht="21.75" customHeight="1">
      <c r="A313" s="29"/>
      <c r="B313" s="29"/>
      <c r="C313" s="29"/>
      <c r="D313" s="29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29"/>
      <c r="AA313" s="29"/>
      <c r="AB313" s="29"/>
      <c r="AC313" s="29"/>
      <c r="AD313" s="29"/>
      <c r="AE313" s="29"/>
      <c r="AF313" s="29"/>
    </row>
    <row r="314" ht="21.75" customHeight="1">
      <c r="A314" s="29"/>
      <c r="B314" s="29"/>
      <c r="C314" s="29"/>
      <c r="D314" s="29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29"/>
      <c r="AA314" s="29"/>
      <c r="AB314" s="29"/>
      <c r="AC314" s="29"/>
      <c r="AD314" s="29"/>
      <c r="AE314" s="29"/>
      <c r="AF314" s="29"/>
    </row>
    <row r="315" ht="21.75" customHeight="1">
      <c r="A315" s="29"/>
      <c r="B315" s="29"/>
      <c r="C315" s="29"/>
      <c r="D315" s="29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29"/>
      <c r="AA315" s="29"/>
      <c r="AB315" s="29"/>
      <c r="AC315" s="29"/>
      <c r="AD315" s="29"/>
      <c r="AE315" s="29"/>
      <c r="AF315" s="29"/>
    </row>
    <row r="316" ht="21.75" customHeight="1">
      <c r="A316" s="29"/>
      <c r="B316" s="29"/>
      <c r="C316" s="29"/>
      <c r="D316" s="29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29"/>
      <c r="AA316" s="29"/>
      <c r="AB316" s="29"/>
      <c r="AC316" s="29"/>
      <c r="AD316" s="29"/>
      <c r="AE316" s="29"/>
      <c r="AF316" s="29"/>
    </row>
    <row r="317" ht="21.75" customHeight="1">
      <c r="A317" s="29"/>
      <c r="B317" s="29"/>
      <c r="C317" s="29"/>
      <c r="D317" s="29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29"/>
      <c r="AA317" s="29"/>
      <c r="AB317" s="29"/>
      <c r="AC317" s="29"/>
      <c r="AD317" s="29"/>
      <c r="AE317" s="29"/>
      <c r="AF317" s="29"/>
    </row>
    <row r="318" ht="21.75" customHeight="1">
      <c r="A318" s="29"/>
      <c r="B318" s="29"/>
      <c r="C318" s="29"/>
      <c r="D318" s="29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29"/>
      <c r="AA318" s="29"/>
      <c r="AB318" s="29"/>
      <c r="AC318" s="29"/>
      <c r="AD318" s="29"/>
      <c r="AE318" s="29"/>
      <c r="AF318" s="29"/>
    </row>
    <row r="319" ht="21.75" customHeight="1">
      <c r="A319" s="29"/>
      <c r="B319" s="29"/>
      <c r="C319" s="29"/>
      <c r="D319" s="29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29"/>
      <c r="AA319" s="29"/>
      <c r="AB319" s="29"/>
      <c r="AC319" s="29"/>
      <c r="AD319" s="29"/>
      <c r="AE319" s="29"/>
      <c r="AF319" s="29"/>
    </row>
    <row r="320" ht="21.75" customHeight="1">
      <c r="A320" s="29"/>
      <c r="B320" s="29"/>
      <c r="C320" s="29"/>
      <c r="D320" s="29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29"/>
      <c r="AA320" s="29"/>
      <c r="AB320" s="29"/>
      <c r="AC320" s="29"/>
      <c r="AD320" s="29"/>
      <c r="AE320" s="29"/>
      <c r="AF320" s="29"/>
    </row>
    <row r="321" ht="21.75" customHeight="1">
      <c r="A321" s="29"/>
      <c r="B321" s="29"/>
      <c r="C321" s="29"/>
      <c r="D321" s="29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29"/>
      <c r="AA321" s="29"/>
      <c r="AB321" s="29"/>
      <c r="AC321" s="29"/>
      <c r="AD321" s="29"/>
      <c r="AE321" s="29"/>
      <c r="AF321" s="29"/>
    </row>
    <row r="322" ht="21.75" customHeight="1">
      <c r="A322" s="29"/>
      <c r="B322" s="29"/>
      <c r="C322" s="29"/>
      <c r="D322" s="29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29"/>
      <c r="AA322" s="29"/>
      <c r="AB322" s="29"/>
      <c r="AC322" s="29"/>
      <c r="AD322" s="29"/>
      <c r="AE322" s="29"/>
      <c r="AF322" s="29"/>
    </row>
    <row r="323" ht="21.75" customHeight="1">
      <c r="A323" s="29"/>
      <c r="B323" s="29"/>
      <c r="C323" s="29"/>
      <c r="D323" s="29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29"/>
      <c r="AA323" s="29"/>
      <c r="AB323" s="29"/>
      <c r="AC323" s="29"/>
      <c r="AD323" s="29"/>
      <c r="AE323" s="29"/>
      <c r="AF323" s="29"/>
    </row>
    <row r="324" ht="21.75" customHeight="1">
      <c r="A324" s="29"/>
      <c r="B324" s="29"/>
      <c r="C324" s="29"/>
      <c r="D324" s="29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29"/>
      <c r="AA324" s="29"/>
      <c r="AB324" s="29"/>
      <c r="AC324" s="29"/>
      <c r="AD324" s="29"/>
      <c r="AE324" s="29"/>
      <c r="AF324" s="29"/>
    </row>
    <row r="325" ht="21.75" customHeight="1">
      <c r="A325" s="29"/>
      <c r="B325" s="29"/>
      <c r="C325" s="29"/>
      <c r="D325" s="29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29"/>
      <c r="AA325" s="29"/>
      <c r="AB325" s="29"/>
      <c r="AC325" s="29"/>
      <c r="AD325" s="29"/>
      <c r="AE325" s="29"/>
      <c r="AF325" s="29"/>
    </row>
    <row r="326" ht="21.75" customHeight="1">
      <c r="A326" s="29"/>
      <c r="B326" s="29"/>
      <c r="C326" s="29"/>
      <c r="D326" s="29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29"/>
      <c r="AA326" s="29"/>
      <c r="AB326" s="29"/>
      <c r="AC326" s="29"/>
      <c r="AD326" s="29"/>
      <c r="AE326" s="29"/>
      <c r="AF326" s="29"/>
    </row>
    <row r="327" ht="21.75" customHeight="1">
      <c r="A327" s="29"/>
      <c r="B327" s="29"/>
      <c r="C327" s="29"/>
      <c r="D327" s="29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29"/>
      <c r="AA327" s="29"/>
      <c r="AB327" s="29"/>
      <c r="AC327" s="29"/>
      <c r="AD327" s="29"/>
      <c r="AE327" s="29"/>
      <c r="AF327" s="29"/>
    </row>
    <row r="328" ht="21.75" customHeight="1">
      <c r="A328" s="29"/>
      <c r="B328" s="29"/>
      <c r="C328" s="29"/>
      <c r="D328" s="29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29"/>
      <c r="AA328" s="29"/>
      <c r="AB328" s="29"/>
      <c r="AC328" s="29"/>
      <c r="AD328" s="29"/>
      <c r="AE328" s="29"/>
      <c r="AF328" s="29"/>
    </row>
    <row r="329" ht="21.75" customHeight="1">
      <c r="A329" s="29"/>
      <c r="B329" s="29"/>
      <c r="C329" s="29"/>
      <c r="D329" s="29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29"/>
      <c r="AA329" s="29"/>
      <c r="AB329" s="29"/>
      <c r="AC329" s="29"/>
      <c r="AD329" s="29"/>
      <c r="AE329" s="29"/>
      <c r="AF329" s="29"/>
    </row>
    <row r="330" ht="21.75" customHeight="1">
      <c r="A330" s="29"/>
      <c r="B330" s="29"/>
      <c r="C330" s="29"/>
      <c r="D330" s="29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29"/>
      <c r="AA330" s="29"/>
      <c r="AB330" s="29"/>
      <c r="AC330" s="29"/>
      <c r="AD330" s="29"/>
      <c r="AE330" s="29"/>
      <c r="AF330" s="29"/>
    </row>
    <row r="331" ht="21.75" customHeight="1">
      <c r="A331" s="29"/>
      <c r="B331" s="29"/>
      <c r="C331" s="29"/>
      <c r="D331" s="29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29"/>
      <c r="AA331" s="29"/>
      <c r="AB331" s="29"/>
      <c r="AC331" s="29"/>
      <c r="AD331" s="29"/>
      <c r="AE331" s="29"/>
      <c r="AF331" s="29"/>
    </row>
    <row r="332" ht="21.75" customHeight="1">
      <c r="A332" s="29"/>
      <c r="B332" s="29"/>
      <c r="C332" s="29"/>
      <c r="D332" s="29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29"/>
      <c r="AA332" s="29"/>
      <c r="AB332" s="29"/>
      <c r="AC332" s="29"/>
      <c r="AD332" s="29"/>
      <c r="AE332" s="29"/>
      <c r="AF332" s="29"/>
    </row>
    <row r="333" ht="21.75" customHeight="1">
      <c r="A333" s="29"/>
      <c r="B333" s="29"/>
      <c r="C333" s="29"/>
      <c r="D333" s="29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29"/>
      <c r="AA333" s="29"/>
      <c r="AB333" s="29"/>
      <c r="AC333" s="29"/>
      <c r="AD333" s="29"/>
      <c r="AE333" s="29"/>
      <c r="AF333" s="29"/>
    </row>
    <row r="334" ht="21.75" customHeight="1">
      <c r="A334" s="29"/>
      <c r="B334" s="29"/>
      <c r="C334" s="29"/>
      <c r="D334" s="29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29"/>
      <c r="AA334" s="29"/>
      <c r="AB334" s="29"/>
      <c r="AC334" s="29"/>
      <c r="AD334" s="29"/>
      <c r="AE334" s="29"/>
      <c r="AF334" s="29"/>
    </row>
    <row r="335" ht="21.75" customHeight="1">
      <c r="A335" s="29"/>
      <c r="B335" s="29"/>
      <c r="C335" s="29"/>
      <c r="D335" s="29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29"/>
      <c r="AA335" s="29"/>
      <c r="AB335" s="29"/>
      <c r="AC335" s="29"/>
      <c r="AD335" s="29"/>
      <c r="AE335" s="29"/>
      <c r="AF335" s="29"/>
    </row>
    <row r="336" ht="21.75" customHeight="1">
      <c r="A336" s="29"/>
      <c r="B336" s="29"/>
      <c r="C336" s="29"/>
      <c r="D336" s="29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29"/>
      <c r="AA336" s="29"/>
      <c r="AB336" s="29"/>
      <c r="AC336" s="29"/>
      <c r="AD336" s="29"/>
      <c r="AE336" s="29"/>
      <c r="AF336" s="29"/>
    </row>
    <row r="337" ht="21.75" customHeight="1">
      <c r="A337" s="29"/>
      <c r="B337" s="29"/>
      <c r="C337" s="29"/>
      <c r="D337" s="29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29"/>
      <c r="AA337" s="29"/>
      <c r="AB337" s="29"/>
      <c r="AC337" s="29"/>
      <c r="AD337" s="29"/>
      <c r="AE337" s="29"/>
      <c r="AF337" s="29"/>
    </row>
    <row r="338" ht="21.75" customHeight="1">
      <c r="A338" s="29"/>
      <c r="B338" s="29"/>
      <c r="C338" s="29"/>
      <c r="D338" s="29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29"/>
      <c r="AA338" s="29"/>
      <c r="AB338" s="29"/>
      <c r="AC338" s="29"/>
      <c r="AD338" s="29"/>
      <c r="AE338" s="29"/>
      <c r="AF338" s="29"/>
    </row>
    <row r="339" ht="21.75" customHeight="1">
      <c r="A339" s="29"/>
      <c r="B339" s="29"/>
      <c r="C339" s="29"/>
      <c r="D339" s="29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29"/>
      <c r="AA339" s="29"/>
      <c r="AB339" s="29"/>
      <c r="AC339" s="29"/>
      <c r="AD339" s="29"/>
      <c r="AE339" s="29"/>
      <c r="AF339" s="29"/>
    </row>
    <row r="340" ht="21.75" customHeight="1">
      <c r="A340" s="29"/>
      <c r="B340" s="29"/>
      <c r="C340" s="29"/>
      <c r="D340" s="29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29"/>
      <c r="AA340" s="29"/>
      <c r="AB340" s="29"/>
      <c r="AC340" s="29"/>
      <c r="AD340" s="29"/>
      <c r="AE340" s="29"/>
      <c r="AF340" s="29"/>
    </row>
    <row r="341" ht="21.75" customHeight="1">
      <c r="A341" s="29"/>
      <c r="B341" s="29"/>
      <c r="C341" s="29"/>
      <c r="D341" s="29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29"/>
      <c r="AA341" s="29"/>
      <c r="AB341" s="29"/>
      <c r="AC341" s="29"/>
      <c r="AD341" s="29"/>
      <c r="AE341" s="29"/>
      <c r="AF341" s="29"/>
    </row>
    <row r="342" ht="21.75" customHeight="1">
      <c r="A342" s="29"/>
      <c r="B342" s="29"/>
      <c r="C342" s="29"/>
      <c r="D342" s="29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29"/>
      <c r="AA342" s="29"/>
      <c r="AB342" s="29"/>
      <c r="AC342" s="29"/>
      <c r="AD342" s="29"/>
      <c r="AE342" s="29"/>
      <c r="AF342" s="29"/>
    </row>
    <row r="343" ht="21.75" customHeight="1">
      <c r="A343" s="29"/>
      <c r="B343" s="29"/>
      <c r="C343" s="29"/>
      <c r="D343" s="29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29"/>
      <c r="AA343" s="29"/>
      <c r="AB343" s="29"/>
      <c r="AC343" s="29"/>
      <c r="AD343" s="29"/>
      <c r="AE343" s="29"/>
      <c r="AF343" s="29"/>
    </row>
    <row r="344" ht="21.75" customHeight="1">
      <c r="A344" s="29"/>
      <c r="B344" s="29"/>
      <c r="C344" s="29"/>
      <c r="D344" s="29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29"/>
      <c r="AA344" s="29"/>
      <c r="AB344" s="29"/>
      <c r="AC344" s="29"/>
      <c r="AD344" s="29"/>
      <c r="AE344" s="29"/>
      <c r="AF344" s="29"/>
    </row>
    <row r="345" ht="21.75" customHeight="1">
      <c r="A345" s="29"/>
      <c r="B345" s="29"/>
      <c r="C345" s="29"/>
      <c r="D345" s="29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29"/>
      <c r="AA345" s="29"/>
      <c r="AB345" s="29"/>
      <c r="AC345" s="29"/>
      <c r="AD345" s="29"/>
      <c r="AE345" s="29"/>
      <c r="AF345" s="29"/>
    </row>
    <row r="346" ht="21.75" customHeight="1">
      <c r="A346" s="29"/>
      <c r="B346" s="29"/>
      <c r="C346" s="29"/>
      <c r="D346" s="29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29"/>
      <c r="AA346" s="29"/>
      <c r="AB346" s="29"/>
      <c r="AC346" s="29"/>
      <c r="AD346" s="29"/>
      <c r="AE346" s="29"/>
      <c r="AF346" s="29"/>
    </row>
    <row r="347" ht="21.75" customHeight="1">
      <c r="A347" s="29"/>
      <c r="B347" s="29"/>
      <c r="C347" s="29"/>
      <c r="D347" s="29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29"/>
      <c r="AA347" s="29"/>
      <c r="AB347" s="29"/>
      <c r="AC347" s="29"/>
      <c r="AD347" s="29"/>
      <c r="AE347" s="29"/>
      <c r="AF347" s="29"/>
    </row>
    <row r="348" ht="21.75" customHeight="1">
      <c r="A348" s="29"/>
      <c r="B348" s="29"/>
      <c r="C348" s="29"/>
      <c r="D348" s="29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29"/>
      <c r="AA348" s="29"/>
      <c r="AB348" s="29"/>
      <c r="AC348" s="29"/>
      <c r="AD348" s="29"/>
      <c r="AE348" s="29"/>
      <c r="AF348" s="29"/>
    </row>
    <row r="349" ht="21.75" customHeight="1">
      <c r="A349" s="29"/>
      <c r="B349" s="29"/>
      <c r="C349" s="29"/>
      <c r="D349" s="29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29"/>
      <c r="AA349" s="29"/>
      <c r="AB349" s="29"/>
      <c r="AC349" s="29"/>
      <c r="AD349" s="29"/>
      <c r="AE349" s="29"/>
      <c r="AF349" s="29"/>
    </row>
    <row r="350" ht="21.75" customHeight="1">
      <c r="A350" s="29"/>
      <c r="B350" s="29"/>
      <c r="C350" s="29"/>
      <c r="D350" s="29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29"/>
      <c r="AA350" s="29"/>
      <c r="AB350" s="29"/>
      <c r="AC350" s="29"/>
      <c r="AD350" s="29"/>
      <c r="AE350" s="29"/>
      <c r="AF350" s="29"/>
    </row>
    <row r="351" ht="21.75" customHeight="1">
      <c r="A351" s="29"/>
      <c r="B351" s="29"/>
      <c r="C351" s="29"/>
      <c r="D351" s="29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29"/>
      <c r="AA351" s="29"/>
      <c r="AB351" s="29"/>
      <c r="AC351" s="29"/>
      <c r="AD351" s="29"/>
      <c r="AE351" s="29"/>
      <c r="AF351" s="29"/>
    </row>
    <row r="352" ht="21.75" customHeight="1">
      <c r="A352" s="29"/>
      <c r="B352" s="29"/>
      <c r="C352" s="29"/>
      <c r="D352" s="29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29"/>
      <c r="AA352" s="29"/>
      <c r="AB352" s="29"/>
      <c r="AC352" s="29"/>
      <c r="AD352" s="29"/>
      <c r="AE352" s="29"/>
      <c r="AF352" s="29"/>
    </row>
    <row r="353" ht="21.75" customHeight="1">
      <c r="A353" s="29"/>
      <c r="B353" s="29"/>
      <c r="C353" s="29"/>
      <c r="D353" s="29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29"/>
      <c r="AA353" s="29"/>
      <c r="AB353" s="29"/>
      <c r="AC353" s="29"/>
      <c r="AD353" s="29"/>
      <c r="AE353" s="29"/>
      <c r="AF353" s="29"/>
    </row>
    <row r="354" ht="21.75" customHeight="1">
      <c r="A354" s="29"/>
      <c r="B354" s="29"/>
      <c r="C354" s="29"/>
      <c r="D354" s="29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29"/>
      <c r="AA354" s="29"/>
      <c r="AB354" s="29"/>
      <c r="AC354" s="29"/>
      <c r="AD354" s="29"/>
      <c r="AE354" s="29"/>
      <c r="AF354" s="29"/>
    </row>
    <row r="355" ht="21.75" customHeight="1">
      <c r="A355" s="29"/>
      <c r="B355" s="29"/>
      <c r="C355" s="29"/>
      <c r="D355" s="29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29"/>
      <c r="AA355" s="29"/>
      <c r="AB355" s="29"/>
      <c r="AC355" s="29"/>
      <c r="AD355" s="29"/>
      <c r="AE355" s="29"/>
      <c r="AF355" s="29"/>
    </row>
    <row r="356" ht="21.75" customHeight="1">
      <c r="A356" s="29"/>
      <c r="B356" s="29"/>
      <c r="C356" s="29"/>
      <c r="D356" s="29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29"/>
      <c r="AA356" s="29"/>
      <c r="AB356" s="29"/>
      <c r="AC356" s="29"/>
      <c r="AD356" s="29"/>
      <c r="AE356" s="29"/>
      <c r="AF356" s="29"/>
    </row>
    <row r="357" ht="21.75" customHeight="1">
      <c r="A357" s="29"/>
      <c r="B357" s="29"/>
      <c r="C357" s="29"/>
      <c r="D357" s="29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29"/>
      <c r="AA357" s="29"/>
      <c r="AB357" s="29"/>
      <c r="AC357" s="29"/>
      <c r="AD357" s="29"/>
      <c r="AE357" s="29"/>
      <c r="AF357" s="29"/>
    </row>
    <row r="358" ht="21.75" customHeight="1">
      <c r="A358" s="29"/>
      <c r="B358" s="29"/>
      <c r="C358" s="29"/>
      <c r="D358" s="29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29"/>
      <c r="AA358" s="29"/>
      <c r="AB358" s="29"/>
      <c r="AC358" s="29"/>
      <c r="AD358" s="29"/>
      <c r="AE358" s="29"/>
      <c r="AF358" s="29"/>
    </row>
    <row r="359" ht="21.75" customHeight="1">
      <c r="A359" s="29"/>
      <c r="B359" s="29"/>
      <c r="C359" s="29"/>
      <c r="D359" s="29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29"/>
      <c r="AA359" s="29"/>
      <c r="AB359" s="29"/>
      <c r="AC359" s="29"/>
      <c r="AD359" s="29"/>
      <c r="AE359" s="29"/>
      <c r="AF359" s="29"/>
    </row>
    <row r="360" ht="21.75" customHeight="1">
      <c r="A360" s="29"/>
      <c r="B360" s="29"/>
      <c r="C360" s="29"/>
      <c r="D360" s="29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29"/>
      <c r="AA360" s="29"/>
      <c r="AB360" s="29"/>
      <c r="AC360" s="29"/>
      <c r="AD360" s="29"/>
      <c r="AE360" s="29"/>
      <c r="AF360" s="29"/>
    </row>
    <row r="361" ht="21.75" customHeight="1">
      <c r="A361" s="29"/>
      <c r="B361" s="29"/>
      <c r="C361" s="29"/>
      <c r="D361" s="29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29"/>
      <c r="AA361" s="29"/>
      <c r="AB361" s="29"/>
      <c r="AC361" s="29"/>
      <c r="AD361" s="29"/>
      <c r="AE361" s="29"/>
      <c r="AF361" s="29"/>
    </row>
    <row r="362" ht="21.75" customHeight="1">
      <c r="A362" s="29"/>
      <c r="B362" s="29"/>
      <c r="C362" s="29"/>
      <c r="D362" s="29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29"/>
      <c r="AA362" s="29"/>
      <c r="AB362" s="29"/>
      <c r="AC362" s="29"/>
      <c r="AD362" s="29"/>
      <c r="AE362" s="29"/>
      <c r="AF362" s="29"/>
    </row>
    <row r="363" ht="21.75" customHeight="1">
      <c r="A363" s="29"/>
      <c r="B363" s="29"/>
      <c r="C363" s="29"/>
      <c r="D363" s="29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29"/>
      <c r="AA363" s="29"/>
      <c r="AB363" s="29"/>
      <c r="AC363" s="29"/>
      <c r="AD363" s="29"/>
      <c r="AE363" s="29"/>
      <c r="AF363" s="29"/>
    </row>
    <row r="364" ht="21.75" customHeight="1">
      <c r="A364" s="29"/>
      <c r="B364" s="29"/>
      <c r="C364" s="29"/>
      <c r="D364" s="29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29"/>
      <c r="AA364" s="29"/>
      <c r="AB364" s="29"/>
      <c r="AC364" s="29"/>
      <c r="AD364" s="29"/>
      <c r="AE364" s="29"/>
      <c r="AF364" s="29"/>
    </row>
    <row r="365" ht="21.75" customHeight="1">
      <c r="A365" s="29"/>
      <c r="B365" s="29"/>
      <c r="C365" s="29"/>
      <c r="D365" s="29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29"/>
      <c r="AA365" s="29"/>
      <c r="AB365" s="29"/>
      <c r="AC365" s="29"/>
      <c r="AD365" s="29"/>
      <c r="AE365" s="29"/>
      <c r="AF365" s="29"/>
    </row>
    <row r="366" ht="21.75" customHeight="1">
      <c r="A366" s="29"/>
      <c r="B366" s="29"/>
      <c r="C366" s="29"/>
      <c r="D366" s="29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29"/>
      <c r="AA366" s="29"/>
      <c r="AB366" s="29"/>
      <c r="AC366" s="29"/>
      <c r="AD366" s="29"/>
      <c r="AE366" s="29"/>
      <c r="AF366" s="29"/>
    </row>
    <row r="367" ht="21.75" customHeight="1">
      <c r="A367" s="29"/>
      <c r="B367" s="29"/>
      <c r="C367" s="29"/>
      <c r="D367" s="29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29"/>
      <c r="AA367" s="29"/>
      <c r="AB367" s="29"/>
      <c r="AC367" s="29"/>
      <c r="AD367" s="29"/>
      <c r="AE367" s="29"/>
      <c r="AF367" s="29"/>
    </row>
    <row r="368" ht="21.75" customHeight="1">
      <c r="A368" s="29"/>
      <c r="B368" s="29"/>
      <c r="C368" s="29"/>
      <c r="D368" s="29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29"/>
      <c r="AA368" s="29"/>
      <c r="AB368" s="29"/>
      <c r="AC368" s="29"/>
      <c r="AD368" s="29"/>
      <c r="AE368" s="29"/>
      <c r="AF368" s="29"/>
    </row>
    <row r="369" ht="21.75" customHeight="1">
      <c r="A369" s="29"/>
      <c r="B369" s="29"/>
      <c r="C369" s="29"/>
      <c r="D369" s="29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29"/>
      <c r="AA369" s="29"/>
      <c r="AB369" s="29"/>
      <c r="AC369" s="29"/>
      <c r="AD369" s="29"/>
      <c r="AE369" s="29"/>
      <c r="AF369" s="29"/>
    </row>
    <row r="370" ht="21.75" customHeight="1">
      <c r="A370" s="29"/>
      <c r="B370" s="29"/>
      <c r="C370" s="29"/>
      <c r="D370" s="29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29"/>
      <c r="AA370" s="29"/>
      <c r="AB370" s="29"/>
      <c r="AC370" s="29"/>
      <c r="AD370" s="29"/>
      <c r="AE370" s="29"/>
      <c r="AF370" s="29"/>
    </row>
    <row r="371" ht="21.75" customHeight="1">
      <c r="A371" s="29"/>
      <c r="B371" s="29"/>
      <c r="C371" s="29"/>
      <c r="D371" s="29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29"/>
      <c r="AA371" s="29"/>
      <c r="AB371" s="29"/>
      <c r="AC371" s="29"/>
      <c r="AD371" s="29"/>
      <c r="AE371" s="29"/>
      <c r="AF371" s="29"/>
    </row>
    <row r="372" ht="21.75" customHeight="1">
      <c r="A372" s="29"/>
      <c r="B372" s="29"/>
      <c r="C372" s="29"/>
      <c r="D372" s="29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29"/>
      <c r="AA372" s="29"/>
      <c r="AB372" s="29"/>
      <c r="AC372" s="29"/>
      <c r="AD372" s="29"/>
      <c r="AE372" s="29"/>
      <c r="AF372" s="29"/>
    </row>
    <row r="373" ht="21.75" customHeight="1">
      <c r="A373" s="29"/>
      <c r="B373" s="29"/>
      <c r="C373" s="29"/>
      <c r="D373" s="29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29"/>
      <c r="AA373" s="29"/>
      <c r="AB373" s="29"/>
      <c r="AC373" s="29"/>
      <c r="AD373" s="29"/>
      <c r="AE373" s="29"/>
      <c r="AF373" s="29"/>
    </row>
    <row r="374" ht="21.75" customHeight="1">
      <c r="A374" s="29"/>
      <c r="B374" s="29"/>
      <c r="C374" s="29"/>
      <c r="D374" s="29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29"/>
      <c r="AA374" s="29"/>
      <c r="AB374" s="29"/>
      <c r="AC374" s="29"/>
      <c r="AD374" s="29"/>
      <c r="AE374" s="29"/>
      <c r="AF374" s="29"/>
    </row>
    <row r="375" ht="21.75" customHeight="1">
      <c r="A375" s="29"/>
      <c r="B375" s="29"/>
      <c r="C375" s="29"/>
      <c r="D375" s="29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29"/>
      <c r="AA375" s="29"/>
      <c r="AB375" s="29"/>
      <c r="AC375" s="29"/>
      <c r="AD375" s="29"/>
      <c r="AE375" s="29"/>
      <c r="AF375" s="29"/>
    </row>
    <row r="376" ht="21.75" customHeight="1">
      <c r="A376" s="29"/>
      <c r="B376" s="29"/>
      <c r="C376" s="29"/>
      <c r="D376" s="29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29"/>
      <c r="AA376" s="29"/>
      <c r="AB376" s="29"/>
      <c r="AC376" s="29"/>
      <c r="AD376" s="29"/>
      <c r="AE376" s="29"/>
      <c r="AF376" s="29"/>
    </row>
    <row r="377" ht="21.75" customHeight="1">
      <c r="A377" s="29"/>
      <c r="B377" s="29"/>
      <c r="C377" s="29"/>
      <c r="D377" s="29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29"/>
      <c r="AA377" s="29"/>
      <c r="AB377" s="29"/>
      <c r="AC377" s="29"/>
      <c r="AD377" s="29"/>
      <c r="AE377" s="29"/>
      <c r="AF377" s="29"/>
    </row>
    <row r="378" ht="21.75" customHeight="1">
      <c r="A378" s="29"/>
      <c r="B378" s="29"/>
      <c r="C378" s="29"/>
      <c r="D378" s="29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29"/>
      <c r="AA378" s="29"/>
      <c r="AB378" s="29"/>
      <c r="AC378" s="29"/>
      <c r="AD378" s="29"/>
      <c r="AE378" s="29"/>
      <c r="AF378" s="29"/>
    </row>
    <row r="379" ht="21.75" customHeight="1">
      <c r="A379" s="29"/>
      <c r="B379" s="29"/>
      <c r="C379" s="29"/>
      <c r="D379" s="29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29"/>
      <c r="AA379" s="29"/>
      <c r="AB379" s="29"/>
      <c r="AC379" s="29"/>
      <c r="AD379" s="29"/>
      <c r="AE379" s="29"/>
      <c r="AF379" s="29"/>
    </row>
    <row r="380" ht="21.75" customHeight="1">
      <c r="A380" s="29"/>
      <c r="B380" s="29"/>
      <c r="C380" s="29"/>
      <c r="D380" s="29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29"/>
      <c r="AA380" s="29"/>
      <c r="AB380" s="29"/>
      <c r="AC380" s="29"/>
      <c r="AD380" s="29"/>
      <c r="AE380" s="29"/>
      <c r="AF380" s="29"/>
    </row>
    <row r="381" ht="21.75" customHeight="1">
      <c r="A381" s="29"/>
      <c r="B381" s="29"/>
      <c r="C381" s="29"/>
      <c r="D381" s="29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29"/>
      <c r="AA381" s="29"/>
      <c r="AB381" s="29"/>
      <c r="AC381" s="29"/>
      <c r="AD381" s="29"/>
      <c r="AE381" s="29"/>
      <c r="AF381" s="29"/>
    </row>
    <row r="382" ht="21.75" customHeight="1">
      <c r="A382" s="29"/>
      <c r="B382" s="29"/>
      <c r="C382" s="29"/>
      <c r="D382" s="29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29"/>
      <c r="AA382" s="29"/>
      <c r="AB382" s="29"/>
      <c r="AC382" s="29"/>
      <c r="AD382" s="29"/>
      <c r="AE382" s="29"/>
      <c r="AF382" s="29"/>
    </row>
    <row r="383" ht="21.75" customHeight="1">
      <c r="A383" s="29"/>
      <c r="B383" s="29"/>
      <c r="C383" s="29"/>
      <c r="D383" s="29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29"/>
      <c r="AA383" s="29"/>
      <c r="AB383" s="29"/>
      <c r="AC383" s="29"/>
      <c r="AD383" s="29"/>
      <c r="AE383" s="29"/>
      <c r="AF383" s="29"/>
    </row>
    <row r="384" ht="21.75" customHeight="1">
      <c r="A384" s="29"/>
      <c r="B384" s="29"/>
      <c r="C384" s="29"/>
      <c r="D384" s="29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29"/>
      <c r="AA384" s="29"/>
      <c r="AB384" s="29"/>
      <c r="AC384" s="29"/>
      <c r="AD384" s="29"/>
      <c r="AE384" s="29"/>
      <c r="AF384" s="29"/>
    </row>
    <row r="385" ht="21.75" customHeight="1">
      <c r="A385" s="29"/>
      <c r="B385" s="29"/>
      <c r="C385" s="29"/>
      <c r="D385" s="29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29"/>
      <c r="AA385" s="29"/>
      <c r="AB385" s="29"/>
      <c r="AC385" s="29"/>
      <c r="AD385" s="29"/>
      <c r="AE385" s="29"/>
      <c r="AF385" s="29"/>
    </row>
    <row r="386" ht="21.75" customHeight="1">
      <c r="A386" s="29"/>
      <c r="B386" s="29"/>
      <c r="C386" s="29"/>
      <c r="D386" s="29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29"/>
      <c r="AA386" s="29"/>
      <c r="AB386" s="29"/>
      <c r="AC386" s="29"/>
      <c r="AD386" s="29"/>
      <c r="AE386" s="29"/>
      <c r="AF386" s="29"/>
    </row>
    <row r="387" ht="21.75" customHeight="1">
      <c r="A387" s="29"/>
      <c r="B387" s="29"/>
      <c r="C387" s="29"/>
      <c r="D387" s="29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29"/>
      <c r="AA387" s="29"/>
      <c r="AB387" s="29"/>
      <c r="AC387" s="29"/>
      <c r="AD387" s="29"/>
      <c r="AE387" s="29"/>
      <c r="AF387" s="29"/>
    </row>
    <row r="388" ht="21.75" customHeight="1">
      <c r="A388" s="29"/>
      <c r="B388" s="29"/>
      <c r="C388" s="29"/>
      <c r="D388" s="29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29"/>
      <c r="AA388" s="29"/>
      <c r="AB388" s="29"/>
      <c r="AC388" s="29"/>
      <c r="AD388" s="29"/>
      <c r="AE388" s="29"/>
      <c r="AF388" s="29"/>
    </row>
    <row r="389" ht="21.75" customHeight="1">
      <c r="A389" s="29"/>
      <c r="B389" s="29"/>
      <c r="C389" s="29"/>
      <c r="D389" s="29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29"/>
      <c r="AA389" s="29"/>
      <c r="AB389" s="29"/>
      <c r="AC389" s="29"/>
      <c r="AD389" s="29"/>
      <c r="AE389" s="29"/>
      <c r="AF389" s="29"/>
    </row>
    <row r="390" ht="21.75" customHeight="1">
      <c r="A390" s="29"/>
      <c r="B390" s="29"/>
      <c r="C390" s="29"/>
      <c r="D390" s="29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29"/>
      <c r="AA390" s="29"/>
      <c r="AB390" s="29"/>
      <c r="AC390" s="29"/>
      <c r="AD390" s="29"/>
      <c r="AE390" s="29"/>
      <c r="AF390" s="29"/>
    </row>
    <row r="391" ht="21.75" customHeight="1">
      <c r="A391" s="29"/>
      <c r="B391" s="29"/>
      <c r="C391" s="29"/>
      <c r="D391" s="29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29"/>
      <c r="AA391" s="29"/>
      <c r="AB391" s="29"/>
      <c r="AC391" s="29"/>
      <c r="AD391" s="29"/>
      <c r="AE391" s="29"/>
      <c r="AF391" s="29"/>
    </row>
    <row r="392" ht="21.75" customHeight="1">
      <c r="A392" s="29"/>
      <c r="B392" s="29"/>
      <c r="C392" s="29"/>
      <c r="D392" s="29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29"/>
      <c r="AA392" s="29"/>
      <c r="AB392" s="29"/>
      <c r="AC392" s="29"/>
      <c r="AD392" s="29"/>
      <c r="AE392" s="29"/>
      <c r="AF392" s="29"/>
    </row>
    <row r="393" ht="21.75" customHeight="1">
      <c r="A393" s="29"/>
      <c r="B393" s="29"/>
      <c r="C393" s="29"/>
      <c r="D393" s="29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29"/>
      <c r="AA393" s="29"/>
      <c r="AB393" s="29"/>
      <c r="AC393" s="29"/>
      <c r="AD393" s="29"/>
      <c r="AE393" s="29"/>
      <c r="AF393" s="29"/>
    </row>
    <row r="394" ht="21.75" customHeight="1">
      <c r="A394" s="29"/>
      <c r="B394" s="29"/>
      <c r="C394" s="29"/>
      <c r="D394" s="29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29"/>
      <c r="AA394" s="29"/>
      <c r="AB394" s="29"/>
      <c r="AC394" s="29"/>
      <c r="AD394" s="29"/>
      <c r="AE394" s="29"/>
      <c r="AF394" s="29"/>
    </row>
    <row r="395" ht="21.75" customHeight="1">
      <c r="A395" s="29"/>
      <c r="B395" s="29"/>
      <c r="C395" s="29"/>
      <c r="D395" s="29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29"/>
      <c r="AA395" s="29"/>
      <c r="AB395" s="29"/>
      <c r="AC395" s="29"/>
      <c r="AD395" s="29"/>
      <c r="AE395" s="29"/>
      <c r="AF395" s="29"/>
    </row>
    <row r="396" ht="21.75" customHeight="1">
      <c r="A396" s="29"/>
      <c r="B396" s="29"/>
      <c r="C396" s="29"/>
      <c r="D396" s="29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29"/>
      <c r="AA396" s="29"/>
      <c r="AB396" s="29"/>
      <c r="AC396" s="29"/>
      <c r="AD396" s="29"/>
      <c r="AE396" s="29"/>
      <c r="AF396" s="29"/>
    </row>
    <row r="397" ht="21.75" customHeight="1">
      <c r="A397" s="29"/>
      <c r="B397" s="29"/>
      <c r="C397" s="29"/>
      <c r="D397" s="29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29"/>
      <c r="AA397" s="29"/>
      <c r="AB397" s="29"/>
      <c r="AC397" s="29"/>
      <c r="AD397" s="29"/>
      <c r="AE397" s="29"/>
      <c r="AF397" s="29"/>
    </row>
    <row r="398" ht="21.75" customHeight="1">
      <c r="A398" s="29"/>
      <c r="B398" s="29"/>
      <c r="C398" s="29"/>
      <c r="D398" s="29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29"/>
      <c r="AA398" s="29"/>
      <c r="AB398" s="29"/>
      <c r="AC398" s="29"/>
      <c r="AD398" s="29"/>
      <c r="AE398" s="29"/>
      <c r="AF398" s="29"/>
    </row>
    <row r="399" ht="21.75" customHeight="1">
      <c r="A399" s="29"/>
      <c r="B399" s="29"/>
      <c r="C399" s="29"/>
      <c r="D399" s="29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29"/>
      <c r="AA399" s="29"/>
      <c r="AB399" s="29"/>
      <c r="AC399" s="29"/>
      <c r="AD399" s="29"/>
      <c r="AE399" s="29"/>
      <c r="AF399" s="29"/>
    </row>
    <row r="400" ht="21.75" customHeight="1">
      <c r="A400" s="29"/>
      <c r="B400" s="29"/>
      <c r="C400" s="29"/>
      <c r="D400" s="29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29"/>
      <c r="AA400" s="29"/>
      <c r="AB400" s="29"/>
      <c r="AC400" s="29"/>
      <c r="AD400" s="29"/>
      <c r="AE400" s="29"/>
      <c r="AF400" s="29"/>
    </row>
    <row r="401" ht="21.75" customHeight="1">
      <c r="A401" s="29"/>
      <c r="B401" s="29"/>
      <c r="C401" s="29"/>
      <c r="D401" s="29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29"/>
      <c r="AA401" s="29"/>
      <c r="AB401" s="29"/>
      <c r="AC401" s="29"/>
      <c r="AD401" s="29"/>
      <c r="AE401" s="29"/>
      <c r="AF401" s="29"/>
    </row>
    <row r="402" ht="21.75" customHeight="1">
      <c r="A402" s="29"/>
      <c r="B402" s="29"/>
      <c r="C402" s="29"/>
      <c r="D402" s="29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29"/>
      <c r="AA402" s="29"/>
      <c r="AB402" s="29"/>
      <c r="AC402" s="29"/>
      <c r="AD402" s="29"/>
      <c r="AE402" s="29"/>
      <c r="AF402" s="29"/>
    </row>
    <row r="403" ht="21.75" customHeight="1">
      <c r="A403" s="29"/>
      <c r="B403" s="29"/>
      <c r="C403" s="29"/>
      <c r="D403" s="29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29"/>
      <c r="AA403" s="29"/>
      <c r="AB403" s="29"/>
      <c r="AC403" s="29"/>
      <c r="AD403" s="29"/>
      <c r="AE403" s="29"/>
      <c r="AF403" s="29"/>
    </row>
    <row r="404" ht="21.75" customHeight="1">
      <c r="A404" s="29"/>
      <c r="B404" s="29"/>
      <c r="C404" s="29"/>
      <c r="D404" s="29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29"/>
      <c r="AA404" s="29"/>
      <c r="AB404" s="29"/>
      <c r="AC404" s="29"/>
      <c r="AD404" s="29"/>
      <c r="AE404" s="29"/>
      <c r="AF404" s="29"/>
    </row>
    <row r="405" ht="21.75" customHeight="1">
      <c r="A405" s="29"/>
      <c r="B405" s="29"/>
      <c r="C405" s="29"/>
      <c r="D405" s="29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29"/>
      <c r="AA405" s="29"/>
      <c r="AB405" s="29"/>
      <c r="AC405" s="29"/>
      <c r="AD405" s="29"/>
      <c r="AE405" s="29"/>
      <c r="AF405" s="29"/>
    </row>
    <row r="406" ht="21.75" customHeight="1">
      <c r="A406" s="29"/>
      <c r="B406" s="29"/>
      <c r="C406" s="29"/>
      <c r="D406" s="29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29"/>
      <c r="AA406" s="29"/>
      <c r="AB406" s="29"/>
      <c r="AC406" s="29"/>
      <c r="AD406" s="29"/>
      <c r="AE406" s="29"/>
      <c r="AF406" s="29"/>
    </row>
    <row r="407" ht="21.75" customHeight="1">
      <c r="A407" s="29"/>
      <c r="B407" s="29"/>
      <c r="C407" s="29"/>
      <c r="D407" s="29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29"/>
      <c r="AA407" s="29"/>
      <c r="AB407" s="29"/>
      <c r="AC407" s="29"/>
      <c r="AD407" s="29"/>
      <c r="AE407" s="29"/>
      <c r="AF407" s="29"/>
    </row>
    <row r="408" ht="21.75" customHeight="1">
      <c r="A408" s="29"/>
      <c r="B408" s="29"/>
      <c r="C408" s="29"/>
      <c r="D408" s="29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29"/>
      <c r="AA408" s="29"/>
      <c r="AB408" s="29"/>
      <c r="AC408" s="29"/>
      <c r="AD408" s="29"/>
      <c r="AE408" s="29"/>
      <c r="AF408" s="29"/>
    </row>
    <row r="409" ht="21.75" customHeight="1">
      <c r="A409" s="29"/>
      <c r="B409" s="29"/>
      <c r="C409" s="29"/>
      <c r="D409" s="29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29"/>
      <c r="AA409" s="29"/>
      <c r="AB409" s="29"/>
      <c r="AC409" s="29"/>
      <c r="AD409" s="29"/>
      <c r="AE409" s="29"/>
      <c r="AF409" s="29"/>
    </row>
    <row r="410" ht="21.75" customHeight="1">
      <c r="A410" s="29"/>
      <c r="B410" s="29"/>
      <c r="C410" s="29"/>
      <c r="D410" s="29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29"/>
      <c r="AA410" s="29"/>
      <c r="AB410" s="29"/>
      <c r="AC410" s="29"/>
      <c r="AD410" s="29"/>
      <c r="AE410" s="29"/>
      <c r="AF410" s="29"/>
    </row>
    <row r="411" ht="21.75" customHeight="1">
      <c r="A411" s="29"/>
      <c r="B411" s="29"/>
      <c r="C411" s="29"/>
      <c r="D411" s="29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29"/>
      <c r="AA411" s="29"/>
      <c r="AB411" s="29"/>
      <c r="AC411" s="29"/>
      <c r="AD411" s="29"/>
      <c r="AE411" s="29"/>
      <c r="AF411" s="29"/>
    </row>
    <row r="412" ht="21.75" customHeight="1">
      <c r="A412" s="29"/>
      <c r="B412" s="29"/>
      <c r="C412" s="29"/>
      <c r="D412" s="29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29"/>
      <c r="AA412" s="29"/>
      <c r="AB412" s="29"/>
      <c r="AC412" s="29"/>
      <c r="AD412" s="29"/>
      <c r="AE412" s="29"/>
      <c r="AF412" s="29"/>
    </row>
    <row r="413" ht="21.75" customHeight="1">
      <c r="A413" s="29"/>
      <c r="B413" s="29"/>
      <c r="C413" s="29"/>
      <c r="D413" s="29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29"/>
      <c r="AA413" s="29"/>
      <c r="AB413" s="29"/>
      <c r="AC413" s="29"/>
      <c r="AD413" s="29"/>
      <c r="AE413" s="29"/>
      <c r="AF413" s="29"/>
    </row>
    <row r="414" ht="21.75" customHeight="1">
      <c r="A414" s="29"/>
      <c r="B414" s="29"/>
      <c r="C414" s="29"/>
      <c r="D414" s="29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29"/>
      <c r="AA414" s="29"/>
      <c r="AB414" s="29"/>
      <c r="AC414" s="29"/>
      <c r="AD414" s="29"/>
      <c r="AE414" s="29"/>
      <c r="AF414" s="29"/>
    </row>
    <row r="415" ht="21.75" customHeight="1">
      <c r="A415" s="29"/>
      <c r="B415" s="29"/>
      <c r="C415" s="29"/>
      <c r="D415" s="29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29"/>
      <c r="AA415" s="29"/>
      <c r="AB415" s="29"/>
      <c r="AC415" s="29"/>
      <c r="AD415" s="29"/>
      <c r="AE415" s="29"/>
      <c r="AF415" s="29"/>
    </row>
    <row r="416" ht="21.75" customHeight="1">
      <c r="A416" s="29"/>
      <c r="B416" s="29"/>
      <c r="C416" s="29"/>
      <c r="D416" s="29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29"/>
      <c r="AA416" s="29"/>
      <c r="AB416" s="29"/>
      <c r="AC416" s="29"/>
      <c r="AD416" s="29"/>
      <c r="AE416" s="29"/>
      <c r="AF416" s="29"/>
    </row>
    <row r="417" ht="21.75" customHeight="1">
      <c r="A417" s="29"/>
      <c r="B417" s="29"/>
      <c r="C417" s="29"/>
      <c r="D417" s="29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29"/>
      <c r="AA417" s="29"/>
      <c r="AB417" s="29"/>
      <c r="AC417" s="29"/>
      <c r="AD417" s="29"/>
      <c r="AE417" s="29"/>
      <c r="AF417" s="29"/>
    </row>
    <row r="418" ht="21.75" customHeight="1">
      <c r="A418" s="29"/>
      <c r="B418" s="29"/>
      <c r="C418" s="29"/>
      <c r="D418" s="29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29"/>
      <c r="AA418" s="29"/>
      <c r="AB418" s="29"/>
      <c r="AC418" s="29"/>
      <c r="AD418" s="29"/>
      <c r="AE418" s="29"/>
      <c r="AF418" s="29"/>
    </row>
    <row r="419" ht="21.75" customHeight="1">
      <c r="A419" s="29"/>
      <c r="B419" s="29"/>
      <c r="C419" s="29"/>
      <c r="D419" s="29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29"/>
      <c r="AA419" s="29"/>
      <c r="AB419" s="29"/>
      <c r="AC419" s="29"/>
      <c r="AD419" s="29"/>
      <c r="AE419" s="29"/>
      <c r="AF419" s="29"/>
    </row>
    <row r="420" ht="21.75" customHeight="1">
      <c r="A420" s="29"/>
      <c r="B420" s="29"/>
      <c r="C420" s="29"/>
      <c r="D420" s="29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29"/>
      <c r="AA420" s="29"/>
      <c r="AB420" s="29"/>
      <c r="AC420" s="29"/>
      <c r="AD420" s="29"/>
      <c r="AE420" s="29"/>
      <c r="AF420" s="29"/>
    </row>
    <row r="421" ht="21.75" customHeight="1">
      <c r="A421" s="29"/>
      <c r="B421" s="29"/>
      <c r="C421" s="29"/>
      <c r="D421" s="29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29"/>
      <c r="AA421" s="29"/>
      <c r="AB421" s="29"/>
      <c r="AC421" s="29"/>
      <c r="AD421" s="29"/>
      <c r="AE421" s="29"/>
      <c r="AF421" s="29"/>
    </row>
    <row r="422" ht="21.75" customHeight="1">
      <c r="A422" s="29"/>
      <c r="B422" s="29"/>
      <c r="C422" s="29"/>
      <c r="D422" s="29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29"/>
      <c r="AA422" s="29"/>
      <c r="AB422" s="29"/>
      <c r="AC422" s="29"/>
      <c r="AD422" s="29"/>
      <c r="AE422" s="29"/>
      <c r="AF422" s="29"/>
    </row>
    <row r="423" ht="21.75" customHeight="1">
      <c r="A423" s="29"/>
      <c r="B423" s="29"/>
      <c r="C423" s="29"/>
      <c r="D423" s="29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29"/>
      <c r="AA423" s="29"/>
      <c r="AB423" s="29"/>
      <c r="AC423" s="29"/>
      <c r="AD423" s="29"/>
      <c r="AE423" s="29"/>
      <c r="AF423" s="29"/>
    </row>
    <row r="424" ht="21.75" customHeight="1">
      <c r="A424" s="29"/>
      <c r="B424" s="29"/>
      <c r="C424" s="29"/>
      <c r="D424" s="29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29"/>
      <c r="AA424" s="29"/>
      <c r="AB424" s="29"/>
      <c r="AC424" s="29"/>
      <c r="AD424" s="29"/>
      <c r="AE424" s="29"/>
      <c r="AF424" s="29"/>
    </row>
    <row r="425" ht="21.75" customHeight="1">
      <c r="A425" s="29"/>
      <c r="B425" s="29"/>
      <c r="C425" s="29"/>
      <c r="D425" s="29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29"/>
      <c r="AA425" s="29"/>
      <c r="AB425" s="29"/>
      <c r="AC425" s="29"/>
      <c r="AD425" s="29"/>
      <c r="AE425" s="29"/>
      <c r="AF425" s="29"/>
    </row>
    <row r="426" ht="21.75" customHeight="1">
      <c r="A426" s="29"/>
      <c r="B426" s="29"/>
      <c r="C426" s="29"/>
      <c r="D426" s="29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29"/>
      <c r="AA426" s="29"/>
      <c r="AB426" s="29"/>
      <c r="AC426" s="29"/>
      <c r="AD426" s="29"/>
      <c r="AE426" s="29"/>
      <c r="AF426" s="29"/>
    </row>
    <row r="427" ht="21.75" customHeight="1">
      <c r="A427" s="29"/>
      <c r="B427" s="29"/>
      <c r="C427" s="29"/>
      <c r="D427" s="29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29"/>
      <c r="AA427" s="29"/>
      <c r="AB427" s="29"/>
      <c r="AC427" s="29"/>
      <c r="AD427" s="29"/>
      <c r="AE427" s="29"/>
      <c r="AF427" s="29"/>
    </row>
    <row r="428" ht="21.75" customHeight="1">
      <c r="A428" s="29"/>
      <c r="B428" s="29"/>
      <c r="C428" s="29"/>
      <c r="D428" s="29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29"/>
      <c r="AA428" s="29"/>
      <c r="AB428" s="29"/>
      <c r="AC428" s="29"/>
      <c r="AD428" s="29"/>
      <c r="AE428" s="29"/>
      <c r="AF428" s="29"/>
    </row>
    <row r="429" ht="21.75" customHeight="1">
      <c r="A429" s="29"/>
      <c r="B429" s="29"/>
      <c r="C429" s="29"/>
      <c r="D429" s="29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29"/>
      <c r="AA429" s="29"/>
      <c r="AB429" s="29"/>
      <c r="AC429" s="29"/>
      <c r="AD429" s="29"/>
      <c r="AE429" s="29"/>
      <c r="AF429" s="29"/>
    </row>
    <row r="430" ht="21.75" customHeight="1">
      <c r="A430" s="29"/>
      <c r="B430" s="29"/>
      <c r="C430" s="29"/>
      <c r="D430" s="29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29"/>
      <c r="AA430" s="29"/>
      <c r="AB430" s="29"/>
      <c r="AC430" s="29"/>
      <c r="AD430" s="29"/>
      <c r="AE430" s="29"/>
      <c r="AF430" s="29"/>
    </row>
    <row r="431" ht="21.75" customHeight="1">
      <c r="A431" s="29"/>
      <c r="B431" s="29"/>
      <c r="C431" s="29"/>
      <c r="D431" s="29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29"/>
      <c r="AA431" s="29"/>
      <c r="AB431" s="29"/>
      <c r="AC431" s="29"/>
      <c r="AD431" s="29"/>
      <c r="AE431" s="29"/>
      <c r="AF431" s="29"/>
    </row>
    <row r="432" ht="21.75" customHeight="1">
      <c r="A432" s="29"/>
      <c r="B432" s="29"/>
      <c r="C432" s="29"/>
      <c r="D432" s="29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29"/>
      <c r="AA432" s="29"/>
      <c r="AB432" s="29"/>
      <c r="AC432" s="29"/>
      <c r="AD432" s="29"/>
      <c r="AE432" s="29"/>
      <c r="AF432" s="29"/>
    </row>
    <row r="433" ht="21.75" customHeight="1">
      <c r="A433" s="29"/>
      <c r="B433" s="29"/>
      <c r="C433" s="29"/>
      <c r="D433" s="29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29"/>
      <c r="AA433" s="29"/>
      <c r="AB433" s="29"/>
      <c r="AC433" s="29"/>
      <c r="AD433" s="29"/>
      <c r="AE433" s="29"/>
      <c r="AF433" s="29"/>
    </row>
    <row r="434" ht="21.75" customHeight="1">
      <c r="A434" s="29"/>
      <c r="B434" s="29"/>
      <c r="C434" s="29"/>
      <c r="D434" s="29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29"/>
      <c r="AA434" s="29"/>
      <c r="AB434" s="29"/>
      <c r="AC434" s="29"/>
      <c r="AD434" s="29"/>
      <c r="AE434" s="29"/>
      <c r="AF434" s="29"/>
    </row>
    <row r="435" ht="21.75" customHeight="1">
      <c r="A435" s="29"/>
      <c r="B435" s="29"/>
      <c r="C435" s="29"/>
      <c r="D435" s="29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29"/>
      <c r="AA435" s="29"/>
      <c r="AB435" s="29"/>
      <c r="AC435" s="29"/>
      <c r="AD435" s="29"/>
      <c r="AE435" s="29"/>
      <c r="AF435" s="29"/>
    </row>
    <row r="436" ht="21.75" customHeight="1">
      <c r="A436" s="29"/>
      <c r="B436" s="29"/>
      <c r="C436" s="29"/>
      <c r="D436" s="29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29"/>
      <c r="AA436" s="29"/>
      <c r="AB436" s="29"/>
      <c r="AC436" s="29"/>
      <c r="AD436" s="29"/>
      <c r="AE436" s="29"/>
      <c r="AF436" s="29"/>
    </row>
    <row r="437" ht="21.75" customHeight="1">
      <c r="A437" s="29"/>
      <c r="B437" s="29"/>
      <c r="C437" s="29"/>
      <c r="D437" s="29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29"/>
      <c r="AA437" s="29"/>
      <c r="AB437" s="29"/>
      <c r="AC437" s="29"/>
      <c r="AD437" s="29"/>
      <c r="AE437" s="29"/>
      <c r="AF437" s="29"/>
    </row>
    <row r="438" ht="21.75" customHeight="1">
      <c r="A438" s="29"/>
      <c r="B438" s="29"/>
      <c r="C438" s="29"/>
      <c r="D438" s="29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29"/>
      <c r="AA438" s="29"/>
      <c r="AB438" s="29"/>
      <c r="AC438" s="29"/>
      <c r="AD438" s="29"/>
      <c r="AE438" s="29"/>
      <c r="AF438" s="29"/>
    </row>
    <row r="439" ht="21.75" customHeight="1">
      <c r="A439" s="29"/>
      <c r="B439" s="29"/>
      <c r="C439" s="29"/>
      <c r="D439" s="29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29"/>
      <c r="AA439" s="29"/>
      <c r="AB439" s="29"/>
      <c r="AC439" s="29"/>
      <c r="AD439" s="29"/>
      <c r="AE439" s="29"/>
      <c r="AF439" s="29"/>
    </row>
    <row r="440" ht="21.75" customHeight="1">
      <c r="A440" s="29"/>
      <c r="B440" s="29"/>
      <c r="C440" s="29"/>
      <c r="D440" s="29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29"/>
      <c r="AA440" s="29"/>
      <c r="AB440" s="29"/>
      <c r="AC440" s="29"/>
      <c r="AD440" s="29"/>
      <c r="AE440" s="29"/>
      <c r="AF440" s="29"/>
    </row>
    <row r="441" ht="21.75" customHeight="1">
      <c r="A441" s="29"/>
      <c r="B441" s="29"/>
      <c r="C441" s="29"/>
      <c r="D441" s="29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29"/>
      <c r="AA441" s="29"/>
      <c r="AB441" s="29"/>
      <c r="AC441" s="29"/>
      <c r="AD441" s="29"/>
      <c r="AE441" s="29"/>
      <c r="AF441" s="29"/>
    </row>
    <row r="442" ht="21.75" customHeight="1">
      <c r="A442" s="29"/>
      <c r="B442" s="29"/>
      <c r="C442" s="29"/>
      <c r="D442" s="29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29"/>
      <c r="AA442" s="29"/>
      <c r="AB442" s="29"/>
      <c r="AC442" s="29"/>
      <c r="AD442" s="29"/>
      <c r="AE442" s="29"/>
      <c r="AF442" s="29"/>
    </row>
    <row r="443" ht="21.75" customHeight="1">
      <c r="A443" s="29"/>
      <c r="B443" s="29"/>
      <c r="C443" s="29"/>
      <c r="D443" s="29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29"/>
      <c r="AA443" s="29"/>
      <c r="AB443" s="29"/>
      <c r="AC443" s="29"/>
      <c r="AD443" s="29"/>
      <c r="AE443" s="29"/>
      <c r="AF443" s="29"/>
    </row>
    <row r="444" ht="21.75" customHeight="1">
      <c r="A444" s="29"/>
      <c r="B444" s="29"/>
      <c r="C444" s="29"/>
      <c r="D444" s="29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29"/>
      <c r="AA444" s="29"/>
      <c r="AB444" s="29"/>
      <c r="AC444" s="29"/>
      <c r="AD444" s="29"/>
      <c r="AE444" s="29"/>
      <c r="AF444" s="29"/>
    </row>
    <row r="445" ht="21.75" customHeight="1">
      <c r="A445" s="29"/>
      <c r="B445" s="29"/>
      <c r="C445" s="29"/>
      <c r="D445" s="29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29"/>
      <c r="AA445" s="29"/>
      <c r="AB445" s="29"/>
      <c r="AC445" s="29"/>
      <c r="AD445" s="29"/>
      <c r="AE445" s="29"/>
      <c r="AF445" s="29"/>
    </row>
    <row r="446" ht="21.75" customHeight="1">
      <c r="A446" s="29"/>
      <c r="B446" s="29"/>
      <c r="C446" s="29"/>
      <c r="D446" s="29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29"/>
      <c r="AA446" s="29"/>
      <c r="AB446" s="29"/>
      <c r="AC446" s="29"/>
      <c r="AD446" s="29"/>
      <c r="AE446" s="29"/>
      <c r="AF446" s="29"/>
    </row>
    <row r="447" ht="21.75" customHeight="1">
      <c r="A447" s="29"/>
      <c r="B447" s="29"/>
      <c r="C447" s="29"/>
      <c r="D447" s="29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29"/>
      <c r="AA447" s="29"/>
      <c r="AB447" s="29"/>
      <c r="AC447" s="29"/>
      <c r="AD447" s="29"/>
      <c r="AE447" s="29"/>
      <c r="AF447" s="29"/>
    </row>
    <row r="448" ht="21.75" customHeight="1">
      <c r="A448" s="29"/>
      <c r="B448" s="29"/>
      <c r="C448" s="29"/>
      <c r="D448" s="29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29"/>
      <c r="AA448" s="29"/>
      <c r="AB448" s="29"/>
      <c r="AC448" s="29"/>
      <c r="AD448" s="29"/>
      <c r="AE448" s="29"/>
      <c r="AF448" s="29"/>
    </row>
    <row r="449" ht="21.75" customHeight="1">
      <c r="A449" s="29"/>
      <c r="B449" s="29"/>
      <c r="C449" s="29"/>
      <c r="D449" s="29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29"/>
      <c r="AA449" s="29"/>
      <c r="AB449" s="29"/>
      <c r="AC449" s="29"/>
      <c r="AD449" s="29"/>
      <c r="AE449" s="29"/>
      <c r="AF449" s="29"/>
    </row>
    <row r="450" ht="21.75" customHeight="1">
      <c r="A450" s="29"/>
      <c r="B450" s="29"/>
      <c r="C450" s="29"/>
      <c r="D450" s="29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29"/>
      <c r="AA450" s="29"/>
      <c r="AB450" s="29"/>
      <c r="AC450" s="29"/>
      <c r="AD450" s="29"/>
      <c r="AE450" s="29"/>
      <c r="AF450" s="29"/>
    </row>
    <row r="451" ht="21.75" customHeight="1">
      <c r="A451" s="29"/>
      <c r="B451" s="29"/>
      <c r="C451" s="29"/>
      <c r="D451" s="29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29"/>
      <c r="AA451" s="29"/>
      <c r="AB451" s="29"/>
      <c r="AC451" s="29"/>
      <c r="AD451" s="29"/>
      <c r="AE451" s="29"/>
      <c r="AF451" s="29"/>
    </row>
    <row r="452" ht="21.75" customHeight="1">
      <c r="A452" s="29"/>
      <c r="B452" s="29"/>
      <c r="C452" s="29"/>
      <c r="D452" s="29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29"/>
      <c r="AA452" s="29"/>
      <c r="AB452" s="29"/>
      <c r="AC452" s="29"/>
      <c r="AD452" s="29"/>
      <c r="AE452" s="29"/>
      <c r="AF452" s="29"/>
    </row>
    <row r="453" ht="21.75" customHeight="1">
      <c r="A453" s="29"/>
      <c r="B453" s="29"/>
      <c r="C453" s="29"/>
      <c r="D453" s="29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29"/>
      <c r="AA453" s="29"/>
      <c r="AB453" s="29"/>
      <c r="AC453" s="29"/>
      <c r="AD453" s="29"/>
      <c r="AE453" s="29"/>
      <c r="AF453" s="29"/>
    </row>
    <row r="454" ht="21.75" customHeight="1">
      <c r="A454" s="29"/>
      <c r="B454" s="29"/>
      <c r="C454" s="29"/>
      <c r="D454" s="29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29"/>
      <c r="AA454" s="29"/>
      <c r="AB454" s="29"/>
      <c r="AC454" s="29"/>
      <c r="AD454" s="29"/>
      <c r="AE454" s="29"/>
      <c r="AF454" s="29"/>
    </row>
    <row r="455" ht="21.75" customHeight="1">
      <c r="A455" s="29"/>
      <c r="B455" s="29"/>
      <c r="C455" s="29"/>
      <c r="D455" s="29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29"/>
      <c r="AA455" s="29"/>
      <c r="AB455" s="29"/>
      <c r="AC455" s="29"/>
      <c r="AD455" s="29"/>
      <c r="AE455" s="29"/>
      <c r="AF455" s="29"/>
    </row>
    <row r="456" ht="21.75" customHeight="1">
      <c r="A456" s="29"/>
      <c r="B456" s="29"/>
      <c r="C456" s="29"/>
      <c r="D456" s="29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29"/>
      <c r="AA456" s="29"/>
      <c r="AB456" s="29"/>
      <c r="AC456" s="29"/>
      <c r="AD456" s="29"/>
      <c r="AE456" s="29"/>
      <c r="AF456" s="29"/>
    </row>
    <row r="457" ht="21.75" customHeight="1">
      <c r="A457" s="29"/>
      <c r="B457" s="29"/>
      <c r="C457" s="29"/>
      <c r="D457" s="29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29"/>
      <c r="AA457" s="29"/>
      <c r="AB457" s="29"/>
      <c r="AC457" s="29"/>
      <c r="AD457" s="29"/>
      <c r="AE457" s="29"/>
      <c r="AF457" s="29"/>
    </row>
    <row r="458" ht="21.75" customHeight="1">
      <c r="A458" s="29"/>
      <c r="B458" s="29"/>
      <c r="C458" s="29"/>
      <c r="D458" s="29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29"/>
      <c r="AA458" s="29"/>
      <c r="AB458" s="29"/>
      <c r="AC458" s="29"/>
      <c r="AD458" s="29"/>
      <c r="AE458" s="29"/>
      <c r="AF458" s="29"/>
    </row>
    <row r="459" ht="21.75" customHeight="1">
      <c r="A459" s="29"/>
      <c r="B459" s="29"/>
      <c r="C459" s="29"/>
      <c r="D459" s="29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29"/>
      <c r="AA459" s="29"/>
      <c r="AB459" s="29"/>
      <c r="AC459" s="29"/>
      <c r="AD459" s="29"/>
      <c r="AE459" s="29"/>
      <c r="AF459" s="29"/>
    </row>
    <row r="460" ht="21.75" customHeight="1">
      <c r="A460" s="29"/>
      <c r="B460" s="29"/>
      <c r="C460" s="29"/>
      <c r="D460" s="29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29"/>
      <c r="AA460" s="29"/>
      <c r="AB460" s="29"/>
      <c r="AC460" s="29"/>
      <c r="AD460" s="29"/>
      <c r="AE460" s="29"/>
      <c r="AF460" s="29"/>
    </row>
    <row r="461" ht="21.75" customHeight="1">
      <c r="A461" s="29"/>
      <c r="B461" s="29"/>
      <c r="C461" s="29"/>
      <c r="D461" s="29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29"/>
      <c r="AA461" s="29"/>
      <c r="AB461" s="29"/>
      <c r="AC461" s="29"/>
      <c r="AD461" s="29"/>
      <c r="AE461" s="29"/>
      <c r="AF461" s="29"/>
    </row>
    <row r="462" ht="21.75" customHeight="1">
      <c r="A462" s="29"/>
      <c r="B462" s="29"/>
      <c r="C462" s="29"/>
      <c r="D462" s="29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29"/>
      <c r="AA462" s="29"/>
      <c r="AB462" s="29"/>
      <c r="AC462" s="29"/>
      <c r="AD462" s="29"/>
      <c r="AE462" s="29"/>
      <c r="AF462" s="29"/>
    </row>
    <row r="463" ht="21.75" customHeight="1">
      <c r="A463" s="29"/>
      <c r="B463" s="29"/>
      <c r="C463" s="29"/>
      <c r="D463" s="29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29"/>
      <c r="AA463" s="29"/>
      <c r="AB463" s="29"/>
      <c r="AC463" s="29"/>
      <c r="AD463" s="29"/>
      <c r="AE463" s="29"/>
      <c r="AF463" s="29"/>
    </row>
    <row r="464" ht="21.75" customHeight="1">
      <c r="A464" s="29"/>
      <c r="B464" s="29"/>
      <c r="C464" s="29"/>
      <c r="D464" s="29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29"/>
      <c r="AA464" s="29"/>
      <c r="AB464" s="29"/>
      <c r="AC464" s="29"/>
      <c r="AD464" s="29"/>
      <c r="AE464" s="29"/>
      <c r="AF464" s="29"/>
    </row>
    <row r="465" ht="21.75" customHeight="1">
      <c r="A465" s="29"/>
      <c r="B465" s="29"/>
      <c r="C465" s="29"/>
      <c r="D465" s="29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29"/>
      <c r="AA465" s="29"/>
      <c r="AB465" s="29"/>
      <c r="AC465" s="29"/>
      <c r="AD465" s="29"/>
      <c r="AE465" s="29"/>
      <c r="AF465" s="29"/>
    </row>
    <row r="466" ht="21.75" customHeight="1">
      <c r="A466" s="29"/>
      <c r="B466" s="29"/>
      <c r="C466" s="29"/>
      <c r="D466" s="29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29"/>
      <c r="AA466" s="29"/>
      <c r="AB466" s="29"/>
      <c r="AC466" s="29"/>
      <c r="AD466" s="29"/>
      <c r="AE466" s="29"/>
      <c r="AF466" s="29"/>
    </row>
    <row r="467" ht="21.75" customHeight="1">
      <c r="A467" s="29"/>
      <c r="B467" s="29"/>
      <c r="C467" s="29"/>
      <c r="D467" s="29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29"/>
      <c r="AA467" s="29"/>
      <c r="AB467" s="29"/>
      <c r="AC467" s="29"/>
      <c r="AD467" s="29"/>
      <c r="AE467" s="29"/>
      <c r="AF467" s="29"/>
    </row>
    <row r="468" ht="21.75" customHeight="1">
      <c r="A468" s="29"/>
      <c r="B468" s="29"/>
      <c r="C468" s="29"/>
      <c r="D468" s="29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29"/>
      <c r="AA468" s="29"/>
      <c r="AB468" s="29"/>
      <c r="AC468" s="29"/>
      <c r="AD468" s="29"/>
      <c r="AE468" s="29"/>
      <c r="AF468" s="29"/>
    </row>
    <row r="469" ht="21.75" customHeight="1">
      <c r="A469" s="29"/>
      <c r="B469" s="29"/>
      <c r="C469" s="29"/>
      <c r="D469" s="29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29"/>
      <c r="AA469" s="29"/>
      <c r="AB469" s="29"/>
      <c r="AC469" s="29"/>
      <c r="AD469" s="29"/>
      <c r="AE469" s="29"/>
      <c r="AF469" s="29"/>
    </row>
    <row r="470" ht="21.75" customHeight="1">
      <c r="A470" s="29"/>
      <c r="B470" s="29"/>
      <c r="C470" s="29"/>
      <c r="D470" s="29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29"/>
      <c r="AA470" s="29"/>
      <c r="AB470" s="29"/>
      <c r="AC470" s="29"/>
      <c r="AD470" s="29"/>
      <c r="AE470" s="29"/>
      <c r="AF470" s="29"/>
    </row>
    <row r="471" ht="21.75" customHeight="1">
      <c r="A471" s="29"/>
      <c r="B471" s="29"/>
      <c r="C471" s="29"/>
      <c r="D471" s="29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29"/>
      <c r="AA471" s="29"/>
      <c r="AB471" s="29"/>
      <c r="AC471" s="29"/>
      <c r="AD471" s="29"/>
      <c r="AE471" s="29"/>
      <c r="AF471" s="29"/>
    </row>
    <row r="472" ht="21.75" customHeight="1">
      <c r="A472" s="29"/>
      <c r="B472" s="29"/>
      <c r="C472" s="29"/>
      <c r="D472" s="29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29"/>
      <c r="AA472" s="29"/>
      <c r="AB472" s="29"/>
      <c r="AC472" s="29"/>
      <c r="AD472" s="29"/>
      <c r="AE472" s="29"/>
      <c r="AF472" s="29"/>
    </row>
    <row r="473" ht="21.75" customHeight="1">
      <c r="A473" s="29"/>
      <c r="B473" s="29"/>
      <c r="C473" s="29"/>
      <c r="D473" s="29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29"/>
      <c r="AA473" s="29"/>
      <c r="AB473" s="29"/>
      <c r="AC473" s="29"/>
      <c r="AD473" s="29"/>
      <c r="AE473" s="29"/>
      <c r="AF473" s="29"/>
    </row>
    <row r="474" ht="21.75" customHeight="1">
      <c r="A474" s="29"/>
      <c r="B474" s="29"/>
      <c r="C474" s="29"/>
      <c r="D474" s="29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29"/>
      <c r="AA474" s="29"/>
      <c r="AB474" s="29"/>
      <c r="AC474" s="29"/>
      <c r="AD474" s="29"/>
      <c r="AE474" s="29"/>
      <c r="AF474" s="29"/>
    </row>
    <row r="475" ht="21.75" customHeight="1">
      <c r="A475" s="29"/>
      <c r="B475" s="29"/>
      <c r="C475" s="29"/>
      <c r="D475" s="29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29"/>
      <c r="AA475" s="29"/>
      <c r="AB475" s="29"/>
      <c r="AC475" s="29"/>
      <c r="AD475" s="29"/>
      <c r="AE475" s="29"/>
      <c r="AF475" s="29"/>
    </row>
    <row r="476" ht="21.75" customHeight="1">
      <c r="A476" s="29"/>
      <c r="B476" s="29"/>
      <c r="C476" s="29"/>
      <c r="D476" s="29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29"/>
      <c r="AA476" s="29"/>
      <c r="AB476" s="29"/>
      <c r="AC476" s="29"/>
      <c r="AD476" s="29"/>
      <c r="AE476" s="29"/>
      <c r="AF476" s="29"/>
    </row>
    <row r="477" ht="21.75" customHeight="1">
      <c r="A477" s="29"/>
      <c r="B477" s="29"/>
      <c r="C477" s="29"/>
      <c r="D477" s="29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29"/>
      <c r="AA477" s="29"/>
      <c r="AB477" s="29"/>
      <c r="AC477" s="29"/>
      <c r="AD477" s="29"/>
      <c r="AE477" s="29"/>
      <c r="AF477" s="29"/>
    </row>
    <row r="478" ht="21.75" customHeight="1">
      <c r="A478" s="29"/>
      <c r="B478" s="29"/>
      <c r="C478" s="29"/>
      <c r="D478" s="29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29"/>
      <c r="AA478" s="29"/>
      <c r="AB478" s="29"/>
      <c r="AC478" s="29"/>
      <c r="AD478" s="29"/>
      <c r="AE478" s="29"/>
      <c r="AF478" s="29"/>
    </row>
    <row r="479" ht="21.75" customHeight="1">
      <c r="A479" s="29"/>
      <c r="B479" s="29"/>
      <c r="C479" s="29"/>
      <c r="D479" s="29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29"/>
      <c r="AA479" s="29"/>
      <c r="AB479" s="29"/>
      <c r="AC479" s="29"/>
      <c r="AD479" s="29"/>
      <c r="AE479" s="29"/>
      <c r="AF479" s="29"/>
    </row>
    <row r="480" ht="21.75" customHeight="1">
      <c r="A480" s="29"/>
      <c r="B480" s="29"/>
      <c r="C480" s="29"/>
      <c r="D480" s="29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29"/>
      <c r="AA480" s="29"/>
      <c r="AB480" s="29"/>
      <c r="AC480" s="29"/>
      <c r="AD480" s="29"/>
      <c r="AE480" s="29"/>
      <c r="AF480" s="29"/>
    </row>
    <row r="481" ht="21.75" customHeight="1">
      <c r="A481" s="29"/>
      <c r="B481" s="29"/>
      <c r="C481" s="29"/>
      <c r="D481" s="29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29"/>
      <c r="AA481" s="29"/>
      <c r="AB481" s="29"/>
      <c r="AC481" s="29"/>
      <c r="AD481" s="29"/>
      <c r="AE481" s="29"/>
      <c r="AF481" s="29"/>
    </row>
    <row r="482" ht="21.75" customHeight="1">
      <c r="A482" s="29"/>
      <c r="B482" s="29"/>
      <c r="C482" s="29"/>
      <c r="D482" s="29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29"/>
      <c r="AA482" s="29"/>
      <c r="AB482" s="29"/>
      <c r="AC482" s="29"/>
      <c r="AD482" s="29"/>
      <c r="AE482" s="29"/>
      <c r="AF482" s="29"/>
    </row>
    <row r="483" ht="21.75" customHeight="1">
      <c r="A483" s="29"/>
      <c r="B483" s="29"/>
      <c r="C483" s="29"/>
      <c r="D483" s="29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29"/>
      <c r="AA483" s="29"/>
      <c r="AB483" s="29"/>
      <c r="AC483" s="29"/>
      <c r="AD483" s="29"/>
      <c r="AE483" s="29"/>
      <c r="AF483" s="29"/>
    </row>
    <row r="484" ht="21.75" customHeight="1">
      <c r="A484" s="29"/>
      <c r="B484" s="29"/>
      <c r="C484" s="29"/>
      <c r="D484" s="29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29"/>
      <c r="AA484" s="29"/>
      <c r="AB484" s="29"/>
      <c r="AC484" s="29"/>
      <c r="AD484" s="29"/>
      <c r="AE484" s="29"/>
      <c r="AF484" s="29"/>
    </row>
    <row r="485" ht="21.75" customHeight="1">
      <c r="A485" s="29"/>
      <c r="B485" s="29"/>
      <c r="C485" s="29"/>
      <c r="D485" s="29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29"/>
      <c r="AA485" s="29"/>
      <c r="AB485" s="29"/>
      <c r="AC485" s="29"/>
      <c r="AD485" s="29"/>
      <c r="AE485" s="29"/>
      <c r="AF485" s="29"/>
    </row>
    <row r="486" ht="21.75" customHeight="1">
      <c r="A486" s="29"/>
      <c r="B486" s="29"/>
      <c r="C486" s="29"/>
      <c r="D486" s="29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29"/>
      <c r="AA486" s="29"/>
      <c r="AB486" s="29"/>
      <c r="AC486" s="29"/>
      <c r="AD486" s="29"/>
      <c r="AE486" s="29"/>
      <c r="AF486" s="29"/>
    </row>
    <row r="487" ht="21.75" customHeight="1">
      <c r="A487" s="29"/>
      <c r="B487" s="29"/>
      <c r="C487" s="29"/>
      <c r="D487" s="29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29"/>
      <c r="AA487" s="29"/>
      <c r="AB487" s="29"/>
      <c r="AC487" s="29"/>
      <c r="AD487" s="29"/>
      <c r="AE487" s="29"/>
      <c r="AF487" s="29"/>
    </row>
    <row r="488" ht="21.75" customHeight="1">
      <c r="A488" s="29"/>
      <c r="B488" s="29"/>
      <c r="C488" s="29"/>
      <c r="D488" s="29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29"/>
      <c r="AA488" s="29"/>
      <c r="AB488" s="29"/>
      <c r="AC488" s="29"/>
      <c r="AD488" s="29"/>
      <c r="AE488" s="29"/>
      <c r="AF488" s="29"/>
    </row>
    <row r="489" ht="21.75" customHeight="1">
      <c r="A489" s="29"/>
      <c r="B489" s="29"/>
      <c r="C489" s="29"/>
      <c r="D489" s="29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29"/>
      <c r="AA489" s="29"/>
      <c r="AB489" s="29"/>
      <c r="AC489" s="29"/>
      <c r="AD489" s="29"/>
      <c r="AE489" s="29"/>
      <c r="AF489" s="29"/>
    </row>
    <row r="490" ht="21.75" customHeight="1">
      <c r="A490" s="29"/>
      <c r="B490" s="29"/>
      <c r="C490" s="29"/>
      <c r="D490" s="29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29"/>
      <c r="AA490" s="29"/>
      <c r="AB490" s="29"/>
      <c r="AC490" s="29"/>
      <c r="AD490" s="29"/>
      <c r="AE490" s="29"/>
      <c r="AF490" s="29"/>
    </row>
    <row r="491" ht="21.75" customHeight="1">
      <c r="A491" s="29"/>
      <c r="B491" s="29"/>
      <c r="C491" s="29"/>
      <c r="D491" s="29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29"/>
      <c r="AA491" s="29"/>
      <c r="AB491" s="29"/>
      <c r="AC491" s="29"/>
      <c r="AD491" s="29"/>
      <c r="AE491" s="29"/>
      <c r="AF491" s="29"/>
    </row>
    <row r="492" ht="21.75" customHeight="1">
      <c r="A492" s="29"/>
      <c r="B492" s="29"/>
      <c r="C492" s="29"/>
      <c r="D492" s="29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29"/>
      <c r="AA492" s="29"/>
      <c r="AB492" s="29"/>
      <c r="AC492" s="29"/>
      <c r="AD492" s="29"/>
      <c r="AE492" s="29"/>
      <c r="AF492" s="29"/>
    </row>
    <row r="493" ht="21.75" customHeight="1">
      <c r="A493" s="29"/>
      <c r="B493" s="29"/>
      <c r="C493" s="29"/>
      <c r="D493" s="29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29"/>
      <c r="AA493" s="29"/>
      <c r="AB493" s="29"/>
      <c r="AC493" s="29"/>
      <c r="AD493" s="29"/>
      <c r="AE493" s="29"/>
      <c r="AF493" s="29"/>
    </row>
    <row r="494" ht="21.75" customHeight="1">
      <c r="A494" s="29"/>
      <c r="B494" s="29"/>
      <c r="C494" s="29"/>
      <c r="D494" s="29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29"/>
      <c r="AA494" s="29"/>
      <c r="AB494" s="29"/>
      <c r="AC494" s="29"/>
      <c r="AD494" s="29"/>
      <c r="AE494" s="29"/>
      <c r="AF494" s="29"/>
    </row>
    <row r="495" ht="21.75" customHeight="1">
      <c r="A495" s="29"/>
      <c r="B495" s="29"/>
      <c r="C495" s="29"/>
      <c r="D495" s="29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29"/>
      <c r="AA495" s="29"/>
      <c r="AB495" s="29"/>
      <c r="AC495" s="29"/>
      <c r="AD495" s="29"/>
      <c r="AE495" s="29"/>
      <c r="AF495" s="29"/>
    </row>
    <row r="496" ht="21.75" customHeight="1">
      <c r="A496" s="29"/>
      <c r="B496" s="29"/>
      <c r="C496" s="29"/>
      <c r="D496" s="29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29"/>
      <c r="AA496" s="29"/>
      <c r="AB496" s="29"/>
      <c r="AC496" s="29"/>
      <c r="AD496" s="29"/>
      <c r="AE496" s="29"/>
      <c r="AF496" s="29"/>
    </row>
    <row r="497" ht="21.75" customHeight="1">
      <c r="A497" s="29"/>
      <c r="B497" s="29"/>
      <c r="C497" s="29"/>
      <c r="D497" s="29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29"/>
      <c r="AA497" s="29"/>
      <c r="AB497" s="29"/>
      <c r="AC497" s="29"/>
      <c r="AD497" s="29"/>
      <c r="AE497" s="29"/>
      <c r="AF497" s="29"/>
    </row>
    <row r="498" ht="21.75" customHeight="1">
      <c r="A498" s="29"/>
      <c r="B498" s="29"/>
      <c r="C498" s="29"/>
      <c r="D498" s="29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29"/>
      <c r="AA498" s="29"/>
      <c r="AB498" s="29"/>
      <c r="AC498" s="29"/>
      <c r="AD498" s="29"/>
      <c r="AE498" s="29"/>
      <c r="AF498" s="29"/>
    </row>
    <row r="499" ht="21.75" customHeight="1">
      <c r="A499" s="29"/>
      <c r="B499" s="29"/>
      <c r="C499" s="29"/>
      <c r="D499" s="29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29"/>
      <c r="AA499" s="29"/>
      <c r="AB499" s="29"/>
      <c r="AC499" s="29"/>
      <c r="AD499" s="29"/>
      <c r="AE499" s="29"/>
      <c r="AF499" s="29"/>
    </row>
    <row r="500" ht="21.75" customHeight="1">
      <c r="A500" s="29"/>
      <c r="B500" s="29"/>
      <c r="C500" s="29"/>
      <c r="D500" s="29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29"/>
      <c r="AA500" s="29"/>
      <c r="AB500" s="29"/>
      <c r="AC500" s="29"/>
      <c r="AD500" s="29"/>
      <c r="AE500" s="29"/>
      <c r="AF500" s="29"/>
    </row>
    <row r="501" ht="21.75" customHeight="1">
      <c r="A501" s="29"/>
      <c r="B501" s="29"/>
      <c r="C501" s="29"/>
      <c r="D501" s="29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29"/>
      <c r="AA501" s="29"/>
      <c r="AB501" s="29"/>
      <c r="AC501" s="29"/>
      <c r="AD501" s="29"/>
      <c r="AE501" s="29"/>
      <c r="AF501" s="29"/>
    </row>
    <row r="502" ht="21.75" customHeight="1">
      <c r="A502" s="29"/>
      <c r="B502" s="29"/>
      <c r="C502" s="29"/>
      <c r="D502" s="29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29"/>
      <c r="AA502" s="29"/>
      <c r="AB502" s="29"/>
      <c r="AC502" s="29"/>
      <c r="AD502" s="29"/>
      <c r="AE502" s="29"/>
      <c r="AF502" s="29"/>
    </row>
    <row r="503" ht="21.75" customHeight="1">
      <c r="A503" s="29"/>
      <c r="B503" s="29"/>
      <c r="C503" s="29"/>
      <c r="D503" s="29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29"/>
      <c r="AA503" s="29"/>
      <c r="AB503" s="29"/>
      <c r="AC503" s="29"/>
      <c r="AD503" s="29"/>
      <c r="AE503" s="29"/>
      <c r="AF503" s="29"/>
    </row>
    <row r="504" ht="21.75" customHeight="1">
      <c r="A504" s="29"/>
      <c r="B504" s="29"/>
      <c r="C504" s="29"/>
      <c r="D504" s="29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29"/>
      <c r="AA504" s="29"/>
      <c r="AB504" s="29"/>
      <c r="AC504" s="29"/>
      <c r="AD504" s="29"/>
      <c r="AE504" s="29"/>
      <c r="AF504" s="29"/>
    </row>
    <row r="505" ht="21.75" customHeight="1">
      <c r="A505" s="29"/>
      <c r="B505" s="29"/>
      <c r="C505" s="29"/>
      <c r="D505" s="29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29"/>
      <c r="AA505" s="29"/>
      <c r="AB505" s="29"/>
      <c r="AC505" s="29"/>
      <c r="AD505" s="29"/>
      <c r="AE505" s="29"/>
      <c r="AF505" s="29"/>
    </row>
    <row r="506" ht="21.75" customHeight="1">
      <c r="A506" s="29"/>
      <c r="B506" s="29"/>
      <c r="C506" s="29"/>
      <c r="D506" s="29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29"/>
      <c r="AA506" s="29"/>
      <c r="AB506" s="29"/>
      <c r="AC506" s="29"/>
      <c r="AD506" s="29"/>
      <c r="AE506" s="29"/>
      <c r="AF506" s="29"/>
    </row>
    <row r="507" ht="21.75" customHeight="1">
      <c r="A507" s="29"/>
      <c r="B507" s="29"/>
      <c r="C507" s="29"/>
      <c r="D507" s="29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29"/>
      <c r="AA507" s="29"/>
      <c r="AB507" s="29"/>
      <c r="AC507" s="29"/>
      <c r="AD507" s="29"/>
      <c r="AE507" s="29"/>
      <c r="AF507" s="29"/>
    </row>
    <row r="508" ht="21.75" customHeight="1">
      <c r="A508" s="29"/>
      <c r="B508" s="29"/>
      <c r="C508" s="29"/>
      <c r="D508" s="29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29"/>
      <c r="AA508" s="29"/>
      <c r="AB508" s="29"/>
      <c r="AC508" s="29"/>
      <c r="AD508" s="29"/>
      <c r="AE508" s="29"/>
      <c r="AF508" s="29"/>
    </row>
    <row r="509" ht="21.75" customHeight="1">
      <c r="A509" s="29"/>
      <c r="B509" s="29"/>
      <c r="C509" s="29"/>
      <c r="D509" s="29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29"/>
      <c r="AA509" s="29"/>
      <c r="AB509" s="29"/>
      <c r="AC509" s="29"/>
      <c r="AD509" s="29"/>
      <c r="AE509" s="29"/>
      <c r="AF509" s="29"/>
    </row>
    <row r="510" ht="21.75" customHeight="1">
      <c r="A510" s="29"/>
      <c r="B510" s="29"/>
      <c r="C510" s="29"/>
      <c r="D510" s="29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29"/>
      <c r="AA510" s="29"/>
      <c r="AB510" s="29"/>
      <c r="AC510" s="29"/>
      <c r="AD510" s="29"/>
      <c r="AE510" s="29"/>
      <c r="AF510" s="29"/>
    </row>
    <row r="511" ht="21.75" customHeight="1">
      <c r="A511" s="29"/>
      <c r="B511" s="29"/>
      <c r="C511" s="29"/>
      <c r="D511" s="29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29"/>
      <c r="AA511" s="29"/>
      <c r="AB511" s="29"/>
      <c r="AC511" s="29"/>
      <c r="AD511" s="29"/>
      <c r="AE511" s="29"/>
      <c r="AF511" s="29"/>
    </row>
    <row r="512" ht="21.75" customHeight="1">
      <c r="A512" s="29"/>
      <c r="B512" s="29"/>
      <c r="C512" s="29"/>
      <c r="D512" s="29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29"/>
      <c r="AA512" s="29"/>
      <c r="AB512" s="29"/>
      <c r="AC512" s="29"/>
      <c r="AD512" s="29"/>
      <c r="AE512" s="29"/>
      <c r="AF512" s="29"/>
    </row>
    <row r="513" ht="21.75" customHeight="1">
      <c r="A513" s="29"/>
      <c r="B513" s="29"/>
      <c r="C513" s="29"/>
      <c r="D513" s="29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29"/>
      <c r="AA513" s="29"/>
      <c r="AB513" s="29"/>
      <c r="AC513" s="29"/>
      <c r="AD513" s="29"/>
      <c r="AE513" s="29"/>
      <c r="AF513" s="29"/>
    </row>
    <row r="514" ht="21.75" customHeight="1">
      <c r="A514" s="29"/>
      <c r="B514" s="29"/>
      <c r="C514" s="29"/>
      <c r="D514" s="29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29"/>
      <c r="AA514" s="29"/>
      <c r="AB514" s="29"/>
      <c r="AC514" s="29"/>
      <c r="AD514" s="29"/>
      <c r="AE514" s="29"/>
      <c r="AF514" s="29"/>
    </row>
    <row r="515" ht="21.75" customHeight="1">
      <c r="A515" s="29"/>
      <c r="B515" s="29"/>
      <c r="C515" s="29"/>
      <c r="D515" s="29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29"/>
      <c r="AA515" s="29"/>
      <c r="AB515" s="29"/>
      <c r="AC515" s="29"/>
      <c r="AD515" s="29"/>
      <c r="AE515" s="29"/>
      <c r="AF515" s="29"/>
    </row>
    <row r="516" ht="21.75" customHeight="1">
      <c r="A516" s="29"/>
      <c r="B516" s="29"/>
      <c r="C516" s="29"/>
      <c r="D516" s="29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29"/>
      <c r="AA516" s="29"/>
      <c r="AB516" s="29"/>
      <c r="AC516" s="29"/>
      <c r="AD516" s="29"/>
      <c r="AE516" s="29"/>
      <c r="AF516" s="29"/>
    </row>
    <row r="517" ht="21.75" customHeight="1">
      <c r="A517" s="29"/>
      <c r="B517" s="29"/>
      <c r="C517" s="29"/>
      <c r="D517" s="29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29"/>
      <c r="AA517" s="29"/>
      <c r="AB517" s="29"/>
      <c r="AC517" s="29"/>
      <c r="AD517" s="29"/>
      <c r="AE517" s="29"/>
      <c r="AF517" s="29"/>
    </row>
    <row r="518" ht="21.75" customHeight="1">
      <c r="A518" s="29"/>
      <c r="B518" s="29"/>
      <c r="C518" s="29"/>
      <c r="D518" s="29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29"/>
      <c r="AA518" s="29"/>
      <c r="AB518" s="29"/>
      <c r="AC518" s="29"/>
      <c r="AD518" s="29"/>
      <c r="AE518" s="29"/>
      <c r="AF518" s="29"/>
    </row>
    <row r="519" ht="21.75" customHeight="1">
      <c r="A519" s="29"/>
      <c r="B519" s="29"/>
      <c r="C519" s="29"/>
      <c r="D519" s="29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29"/>
      <c r="AA519" s="29"/>
      <c r="AB519" s="29"/>
      <c r="AC519" s="29"/>
      <c r="AD519" s="29"/>
      <c r="AE519" s="29"/>
      <c r="AF519" s="29"/>
    </row>
    <row r="520" ht="21.75" customHeight="1">
      <c r="A520" s="29"/>
      <c r="B520" s="29"/>
      <c r="C520" s="29"/>
      <c r="D520" s="29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29"/>
      <c r="AA520" s="29"/>
      <c r="AB520" s="29"/>
      <c r="AC520" s="29"/>
      <c r="AD520" s="29"/>
      <c r="AE520" s="29"/>
      <c r="AF520" s="29"/>
    </row>
    <row r="521" ht="21.75" customHeight="1">
      <c r="A521" s="29"/>
      <c r="B521" s="29"/>
      <c r="C521" s="29"/>
      <c r="D521" s="29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29"/>
      <c r="AA521" s="29"/>
      <c r="AB521" s="29"/>
      <c r="AC521" s="29"/>
      <c r="AD521" s="29"/>
      <c r="AE521" s="29"/>
      <c r="AF521" s="29"/>
    </row>
    <row r="522" ht="21.75" customHeight="1">
      <c r="A522" s="29"/>
      <c r="B522" s="29"/>
      <c r="C522" s="29"/>
      <c r="D522" s="29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29"/>
      <c r="AA522" s="29"/>
      <c r="AB522" s="29"/>
      <c r="AC522" s="29"/>
      <c r="AD522" s="29"/>
      <c r="AE522" s="29"/>
      <c r="AF522" s="29"/>
    </row>
    <row r="523" ht="21.75" customHeight="1">
      <c r="A523" s="29"/>
      <c r="B523" s="29"/>
      <c r="C523" s="29"/>
      <c r="D523" s="29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29"/>
      <c r="AA523" s="29"/>
      <c r="AB523" s="29"/>
      <c r="AC523" s="29"/>
      <c r="AD523" s="29"/>
      <c r="AE523" s="29"/>
      <c r="AF523" s="29"/>
    </row>
    <row r="524" ht="21.75" customHeight="1">
      <c r="A524" s="29"/>
      <c r="B524" s="29"/>
      <c r="C524" s="29"/>
      <c r="D524" s="29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29"/>
      <c r="AA524" s="29"/>
      <c r="AB524" s="29"/>
      <c r="AC524" s="29"/>
      <c r="AD524" s="29"/>
      <c r="AE524" s="29"/>
      <c r="AF524" s="29"/>
    </row>
    <row r="525" ht="21.75" customHeight="1">
      <c r="A525" s="29"/>
      <c r="B525" s="29"/>
      <c r="C525" s="29"/>
      <c r="D525" s="29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29"/>
      <c r="AA525" s="29"/>
      <c r="AB525" s="29"/>
      <c r="AC525" s="29"/>
      <c r="AD525" s="29"/>
      <c r="AE525" s="29"/>
      <c r="AF525" s="29"/>
    </row>
    <row r="526" ht="21.75" customHeight="1">
      <c r="A526" s="29"/>
      <c r="B526" s="29"/>
      <c r="C526" s="29"/>
      <c r="D526" s="29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29"/>
      <c r="AA526" s="29"/>
      <c r="AB526" s="29"/>
      <c r="AC526" s="29"/>
      <c r="AD526" s="29"/>
      <c r="AE526" s="29"/>
      <c r="AF526" s="29"/>
    </row>
    <row r="527" ht="21.75" customHeight="1">
      <c r="A527" s="29"/>
      <c r="B527" s="29"/>
      <c r="C527" s="29"/>
      <c r="D527" s="29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29"/>
      <c r="AA527" s="29"/>
      <c r="AB527" s="29"/>
      <c r="AC527" s="29"/>
      <c r="AD527" s="29"/>
      <c r="AE527" s="29"/>
      <c r="AF527" s="29"/>
    </row>
    <row r="528" ht="21.75" customHeight="1">
      <c r="A528" s="29"/>
      <c r="B528" s="29"/>
      <c r="C528" s="29"/>
      <c r="D528" s="29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29"/>
      <c r="AA528" s="29"/>
      <c r="AB528" s="29"/>
      <c r="AC528" s="29"/>
      <c r="AD528" s="29"/>
      <c r="AE528" s="29"/>
      <c r="AF528" s="29"/>
    </row>
    <row r="529" ht="21.75" customHeight="1">
      <c r="A529" s="29"/>
      <c r="B529" s="29"/>
      <c r="C529" s="29"/>
      <c r="D529" s="29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29"/>
      <c r="AA529" s="29"/>
      <c r="AB529" s="29"/>
      <c r="AC529" s="29"/>
      <c r="AD529" s="29"/>
      <c r="AE529" s="29"/>
      <c r="AF529" s="29"/>
    </row>
    <row r="530" ht="21.75" customHeight="1">
      <c r="A530" s="29"/>
      <c r="B530" s="29"/>
      <c r="C530" s="29"/>
      <c r="D530" s="29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29"/>
      <c r="AA530" s="29"/>
      <c r="AB530" s="29"/>
      <c r="AC530" s="29"/>
      <c r="AD530" s="29"/>
      <c r="AE530" s="29"/>
      <c r="AF530" s="29"/>
    </row>
    <row r="531" ht="21.75" customHeight="1">
      <c r="A531" s="29"/>
      <c r="B531" s="29"/>
      <c r="C531" s="29"/>
      <c r="D531" s="29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29"/>
      <c r="AA531" s="29"/>
      <c r="AB531" s="29"/>
      <c r="AC531" s="29"/>
      <c r="AD531" s="29"/>
      <c r="AE531" s="29"/>
      <c r="AF531" s="29"/>
    </row>
    <row r="532" ht="21.75" customHeight="1">
      <c r="A532" s="29"/>
      <c r="B532" s="29"/>
      <c r="C532" s="29"/>
      <c r="D532" s="29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29"/>
      <c r="AA532" s="29"/>
      <c r="AB532" s="29"/>
      <c r="AC532" s="29"/>
      <c r="AD532" s="29"/>
      <c r="AE532" s="29"/>
      <c r="AF532" s="29"/>
    </row>
    <row r="533" ht="21.75" customHeight="1">
      <c r="A533" s="29"/>
      <c r="B533" s="29"/>
      <c r="C533" s="29"/>
      <c r="D533" s="29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29"/>
      <c r="AA533" s="29"/>
      <c r="AB533" s="29"/>
      <c r="AC533" s="29"/>
      <c r="AD533" s="29"/>
      <c r="AE533" s="29"/>
      <c r="AF533" s="29"/>
    </row>
    <row r="534" ht="21.75" customHeight="1">
      <c r="A534" s="29"/>
      <c r="B534" s="29"/>
      <c r="C534" s="29"/>
      <c r="D534" s="29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29"/>
      <c r="AA534" s="29"/>
      <c r="AB534" s="29"/>
      <c r="AC534" s="29"/>
      <c r="AD534" s="29"/>
      <c r="AE534" s="29"/>
      <c r="AF534" s="29"/>
    </row>
    <row r="535" ht="21.75" customHeight="1">
      <c r="A535" s="29"/>
      <c r="B535" s="29"/>
      <c r="C535" s="29"/>
      <c r="D535" s="29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29"/>
      <c r="AA535" s="29"/>
      <c r="AB535" s="29"/>
      <c r="AC535" s="29"/>
      <c r="AD535" s="29"/>
      <c r="AE535" s="29"/>
      <c r="AF535" s="29"/>
    </row>
    <row r="536" ht="21.75" customHeight="1">
      <c r="A536" s="29"/>
      <c r="B536" s="29"/>
      <c r="C536" s="29"/>
      <c r="D536" s="29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29"/>
      <c r="AA536" s="29"/>
      <c r="AB536" s="29"/>
      <c r="AC536" s="29"/>
      <c r="AD536" s="29"/>
      <c r="AE536" s="29"/>
      <c r="AF536" s="29"/>
    </row>
    <row r="537" ht="21.75" customHeight="1">
      <c r="A537" s="29"/>
      <c r="B537" s="29"/>
      <c r="C537" s="29"/>
      <c r="D537" s="29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29"/>
      <c r="AA537" s="29"/>
      <c r="AB537" s="29"/>
      <c r="AC537" s="29"/>
      <c r="AD537" s="29"/>
      <c r="AE537" s="29"/>
      <c r="AF537" s="29"/>
    </row>
    <row r="538" ht="21.75" customHeight="1">
      <c r="A538" s="29"/>
      <c r="B538" s="29"/>
      <c r="C538" s="29"/>
      <c r="D538" s="29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29"/>
      <c r="AA538" s="29"/>
      <c r="AB538" s="29"/>
      <c r="AC538" s="29"/>
      <c r="AD538" s="29"/>
      <c r="AE538" s="29"/>
      <c r="AF538" s="29"/>
    </row>
    <row r="539" ht="21.75" customHeight="1">
      <c r="A539" s="29"/>
      <c r="B539" s="29"/>
      <c r="C539" s="29"/>
      <c r="D539" s="29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29"/>
      <c r="AA539" s="29"/>
      <c r="AB539" s="29"/>
      <c r="AC539" s="29"/>
      <c r="AD539" s="29"/>
      <c r="AE539" s="29"/>
      <c r="AF539" s="29"/>
    </row>
    <row r="540" ht="21.75" customHeight="1">
      <c r="A540" s="29"/>
      <c r="B540" s="29"/>
      <c r="C540" s="29"/>
      <c r="D540" s="29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29"/>
      <c r="AA540" s="29"/>
      <c r="AB540" s="29"/>
      <c r="AC540" s="29"/>
      <c r="AD540" s="29"/>
      <c r="AE540" s="29"/>
      <c r="AF540" s="29"/>
    </row>
    <row r="541" ht="21.75" customHeight="1">
      <c r="A541" s="29"/>
      <c r="B541" s="29"/>
      <c r="C541" s="29"/>
      <c r="D541" s="29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29"/>
      <c r="AA541" s="29"/>
      <c r="AB541" s="29"/>
      <c r="AC541" s="29"/>
      <c r="AD541" s="29"/>
      <c r="AE541" s="29"/>
      <c r="AF541" s="29"/>
    </row>
    <row r="542" ht="21.75" customHeight="1">
      <c r="A542" s="29"/>
      <c r="B542" s="29"/>
      <c r="C542" s="29"/>
      <c r="D542" s="29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29"/>
      <c r="AA542" s="29"/>
      <c r="AB542" s="29"/>
      <c r="AC542" s="29"/>
      <c r="AD542" s="29"/>
      <c r="AE542" s="29"/>
      <c r="AF542" s="29"/>
    </row>
    <row r="543" ht="21.75" customHeight="1">
      <c r="A543" s="29"/>
      <c r="B543" s="29"/>
      <c r="C543" s="29"/>
      <c r="D543" s="29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29"/>
      <c r="AA543" s="29"/>
      <c r="AB543" s="29"/>
      <c r="AC543" s="29"/>
      <c r="AD543" s="29"/>
      <c r="AE543" s="29"/>
      <c r="AF543" s="29"/>
    </row>
    <row r="544" ht="21.75" customHeight="1">
      <c r="A544" s="29"/>
      <c r="B544" s="29"/>
      <c r="C544" s="29"/>
      <c r="D544" s="29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29"/>
      <c r="AA544" s="29"/>
      <c r="AB544" s="29"/>
      <c r="AC544" s="29"/>
      <c r="AD544" s="29"/>
      <c r="AE544" s="29"/>
      <c r="AF544" s="29"/>
    </row>
    <row r="545" ht="21.75" customHeight="1">
      <c r="A545" s="29"/>
      <c r="B545" s="29"/>
      <c r="C545" s="29"/>
      <c r="D545" s="29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29"/>
      <c r="AA545" s="29"/>
      <c r="AB545" s="29"/>
      <c r="AC545" s="29"/>
      <c r="AD545" s="29"/>
      <c r="AE545" s="29"/>
      <c r="AF545" s="29"/>
    </row>
    <row r="546" ht="21.75" customHeight="1">
      <c r="A546" s="29"/>
      <c r="B546" s="29"/>
      <c r="C546" s="29"/>
      <c r="D546" s="29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29"/>
      <c r="AA546" s="29"/>
      <c r="AB546" s="29"/>
      <c r="AC546" s="29"/>
      <c r="AD546" s="29"/>
      <c r="AE546" s="29"/>
      <c r="AF546" s="29"/>
    </row>
    <row r="547" ht="21.75" customHeight="1">
      <c r="A547" s="29"/>
      <c r="B547" s="29"/>
      <c r="C547" s="29"/>
      <c r="D547" s="29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29"/>
      <c r="AA547" s="29"/>
      <c r="AB547" s="29"/>
      <c r="AC547" s="29"/>
      <c r="AD547" s="29"/>
      <c r="AE547" s="29"/>
      <c r="AF547" s="29"/>
    </row>
    <row r="548" ht="21.75" customHeight="1">
      <c r="A548" s="29"/>
      <c r="B548" s="29"/>
      <c r="C548" s="29"/>
      <c r="D548" s="29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29"/>
      <c r="AA548" s="29"/>
      <c r="AB548" s="29"/>
      <c r="AC548" s="29"/>
      <c r="AD548" s="29"/>
      <c r="AE548" s="29"/>
      <c r="AF548" s="29"/>
    </row>
    <row r="549" ht="21.75" customHeight="1">
      <c r="A549" s="29"/>
      <c r="B549" s="29"/>
      <c r="C549" s="29"/>
      <c r="D549" s="29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29"/>
      <c r="AA549" s="29"/>
      <c r="AB549" s="29"/>
      <c r="AC549" s="29"/>
      <c r="AD549" s="29"/>
      <c r="AE549" s="29"/>
      <c r="AF549" s="29"/>
    </row>
    <row r="550" ht="21.75" customHeight="1">
      <c r="A550" s="29"/>
      <c r="B550" s="29"/>
      <c r="C550" s="29"/>
      <c r="D550" s="29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29"/>
      <c r="AA550" s="29"/>
      <c r="AB550" s="29"/>
      <c r="AC550" s="29"/>
      <c r="AD550" s="29"/>
      <c r="AE550" s="29"/>
      <c r="AF550" s="29"/>
    </row>
    <row r="551" ht="21.75" customHeight="1">
      <c r="A551" s="29"/>
      <c r="B551" s="29"/>
      <c r="C551" s="29"/>
      <c r="D551" s="29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29"/>
      <c r="AA551" s="29"/>
      <c r="AB551" s="29"/>
      <c r="AC551" s="29"/>
      <c r="AD551" s="29"/>
      <c r="AE551" s="29"/>
      <c r="AF551" s="29"/>
    </row>
    <row r="552" ht="21.75" customHeight="1">
      <c r="A552" s="29"/>
      <c r="B552" s="29"/>
      <c r="C552" s="29"/>
      <c r="D552" s="29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29"/>
      <c r="AA552" s="29"/>
      <c r="AB552" s="29"/>
      <c r="AC552" s="29"/>
      <c r="AD552" s="29"/>
      <c r="AE552" s="29"/>
      <c r="AF552" s="29"/>
    </row>
    <row r="553" ht="21.75" customHeight="1">
      <c r="A553" s="29"/>
      <c r="B553" s="29"/>
      <c r="C553" s="29"/>
      <c r="D553" s="29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29"/>
      <c r="AA553" s="29"/>
      <c r="AB553" s="29"/>
      <c r="AC553" s="29"/>
      <c r="AD553" s="29"/>
      <c r="AE553" s="29"/>
      <c r="AF553" s="29"/>
    </row>
    <row r="554" ht="21.75" customHeight="1">
      <c r="A554" s="29"/>
      <c r="B554" s="29"/>
      <c r="C554" s="29"/>
      <c r="D554" s="29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29"/>
      <c r="AA554" s="29"/>
      <c r="AB554" s="29"/>
      <c r="AC554" s="29"/>
      <c r="AD554" s="29"/>
      <c r="AE554" s="29"/>
      <c r="AF554" s="29"/>
    </row>
    <row r="555" ht="21.75" customHeight="1">
      <c r="A555" s="29"/>
      <c r="B555" s="29"/>
      <c r="C555" s="29"/>
      <c r="D555" s="29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29"/>
      <c r="AA555" s="29"/>
      <c r="AB555" s="29"/>
      <c r="AC555" s="29"/>
      <c r="AD555" s="29"/>
      <c r="AE555" s="29"/>
      <c r="AF555" s="29"/>
    </row>
    <row r="556" ht="21.75" customHeight="1">
      <c r="A556" s="29"/>
      <c r="B556" s="29"/>
      <c r="C556" s="29"/>
      <c r="D556" s="29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29"/>
      <c r="AA556" s="29"/>
      <c r="AB556" s="29"/>
      <c r="AC556" s="29"/>
      <c r="AD556" s="29"/>
      <c r="AE556" s="29"/>
      <c r="AF556" s="29"/>
    </row>
    <row r="557" ht="21.75" customHeight="1">
      <c r="A557" s="29"/>
      <c r="B557" s="29"/>
      <c r="C557" s="29"/>
      <c r="D557" s="29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29"/>
      <c r="AA557" s="29"/>
      <c r="AB557" s="29"/>
      <c r="AC557" s="29"/>
      <c r="AD557" s="29"/>
      <c r="AE557" s="29"/>
      <c r="AF557" s="29"/>
    </row>
    <row r="558" ht="21.75" customHeight="1">
      <c r="A558" s="29"/>
      <c r="B558" s="29"/>
      <c r="C558" s="29"/>
      <c r="D558" s="29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29"/>
      <c r="AA558" s="29"/>
      <c r="AB558" s="29"/>
      <c r="AC558" s="29"/>
      <c r="AD558" s="29"/>
      <c r="AE558" s="29"/>
      <c r="AF558" s="29"/>
    </row>
    <row r="559" ht="21.75" customHeight="1">
      <c r="A559" s="29"/>
      <c r="B559" s="29"/>
      <c r="C559" s="29"/>
      <c r="D559" s="29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29"/>
      <c r="AA559" s="29"/>
      <c r="AB559" s="29"/>
      <c r="AC559" s="29"/>
      <c r="AD559" s="29"/>
      <c r="AE559" s="29"/>
      <c r="AF559" s="29"/>
    </row>
    <row r="560" ht="21.75" customHeight="1">
      <c r="A560" s="29"/>
      <c r="B560" s="29"/>
      <c r="C560" s="29"/>
      <c r="D560" s="29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29"/>
      <c r="AA560" s="29"/>
      <c r="AB560" s="29"/>
      <c r="AC560" s="29"/>
      <c r="AD560" s="29"/>
      <c r="AE560" s="29"/>
      <c r="AF560" s="29"/>
    </row>
    <row r="561" ht="21.75" customHeight="1">
      <c r="A561" s="29"/>
      <c r="B561" s="29"/>
      <c r="C561" s="29"/>
      <c r="D561" s="29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29"/>
      <c r="AA561" s="29"/>
      <c r="AB561" s="29"/>
      <c r="AC561" s="29"/>
      <c r="AD561" s="29"/>
      <c r="AE561" s="29"/>
      <c r="AF561" s="29"/>
    </row>
    <row r="562" ht="21.75" customHeight="1">
      <c r="A562" s="29"/>
      <c r="B562" s="29"/>
      <c r="C562" s="29"/>
      <c r="D562" s="29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29"/>
      <c r="AA562" s="29"/>
      <c r="AB562" s="29"/>
      <c r="AC562" s="29"/>
      <c r="AD562" s="29"/>
      <c r="AE562" s="29"/>
      <c r="AF562" s="29"/>
    </row>
    <row r="563" ht="21.75" customHeight="1">
      <c r="A563" s="29"/>
      <c r="B563" s="29"/>
      <c r="C563" s="29"/>
      <c r="D563" s="29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29"/>
      <c r="AA563" s="29"/>
      <c r="AB563" s="29"/>
      <c r="AC563" s="29"/>
      <c r="AD563" s="29"/>
      <c r="AE563" s="29"/>
      <c r="AF563" s="29"/>
    </row>
    <row r="564" ht="21.75" customHeight="1">
      <c r="A564" s="29"/>
      <c r="B564" s="29"/>
      <c r="C564" s="29"/>
      <c r="D564" s="29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29"/>
      <c r="AA564" s="29"/>
      <c r="AB564" s="29"/>
      <c r="AC564" s="29"/>
      <c r="AD564" s="29"/>
      <c r="AE564" s="29"/>
      <c r="AF564" s="29"/>
    </row>
    <row r="565" ht="21.75" customHeight="1">
      <c r="A565" s="29"/>
      <c r="B565" s="29"/>
      <c r="C565" s="29"/>
      <c r="D565" s="29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29"/>
      <c r="AA565" s="29"/>
      <c r="AB565" s="29"/>
      <c r="AC565" s="29"/>
      <c r="AD565" s="29"/>
      <c r="AE565" s="29"/>
      <c r="AF565" s="29"/>
    </row>
    <row r="566" ht="21.75" customHeight="1">
      <c r="A566" s="29"/>
      <c r="B566" s="29"/>
      <c r="C566" s="29"/>
      <c r="D566" s="29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29"/>
      <c r="AA566" s="29"/>
      <c r="AB566" s="29"/>
      <c r="AC566" s="29"/>
      <c r="AD566" s="29"/>
      <c r="AE566" s="29"/>
      <c r="AF566" s="29"/>
    </row>
    <row r="567" ht="21.75" customHeight="1">
      <c r="A567" s="29"/>
      <c r="B567" s="29"/>
      <c r="C567" s="29"/>
      <c r="D567" s="29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29"/>
      <c r="AA567" s="29"/>
      <c r="AB567" s="29"/>
      <c r="AC567" s="29"/>
      <c r="AD567" s="29"/>
      <c r="AE567" s="29"/>
      <c r="AF567" s="29"/>
    </row>
    <row r="568" ht="21.75" customHeight="1">
      <c r="A568" s="29"/>
      <c r="B568" s="29"/>
      <c r="C568" s="29"/>
      <c r="D568" s="29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29"/>
      <c r="AA568" s="29"/>
      <c r="AB568" s="29"/>
      <c r="AC568" s="29"/>
      <c r="AD568" s="29"/>
      <c r="AE568" s="29"/>
      <c r="AF568" s="29"/>
    </row>
    <row r="569" ht="21.75" customHeight="1">
      <c r="A569" s="29"/>
      <c r="B569" s="29"/>
      <c r="C569" s="29"/>
      <c r="D569" s="29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29"/>
      <c r="AA569" s="29"/>
      <c r="AB569" s="29"/>
      <c r="AC569" s="29"/>
      <c r="AD569" s="29"/>
      <c r="AE569" s="29"/>
      <c r="AF569" s="29"/>
    </row>
    <row r="570" ht="21.75" customHeight="1">
      <c r="A570" s="29"/>
      <c r="B570" s="29"/>
      <c r="C570" s="29"/>
      <c r="D570" s="29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29"/>
      <c r="AA570" s="29"/>
      <c r="AB570" s="29"/>
      <c r="AC570" s="29"/>
      <c r="AD570" s="29"/>
      <c r="AE570" s="29"/>
      <c r="AF570" s="29"/>
    </row>
    <row r="571" ht="21.75" customHeight="1">
      <c r="A571" s="29"/>
      <c r="B571" s="29"/>
      <c r="C571" s="29"/>
      <c r="D571" s="29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29"/>
      <c r="AA571" s="29"/>
      <c r="AB571" s="29"/>
      <c r="AC571" s="29"/>
      <c r="AD571" s="29"/>
      <c r="AE571" s="29"/>
      <c r="AF571" s="29"/>
    </row>
    <row r="572" ht="21.75" customHeight="1">
      <c r="A572" s="29"/>
      <c r="B572" s="29"/>
      <c r="C572" s="29"/>
      <c r="D572" s="29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29"/>
      <c r="AA572" s="29"/>
      <c r="AB572" s="29"/>
      <c r="AC572" s="29"/>
      <c r="AD572" s="29"/>
      <c r="AE572" s="29"/>
      <c r="AF572" s="29"/>
    </row>
    <row r="573" ht="21.75" customHeight="1">
      <c r="A573" s="29"/>
      <c r="B573" s="29"/>
      <c r="C573" s="29"/>
      <c r="D573" s="29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29"/>
      <c r="AA573" s="29"/>
      <c r="AB573" s="29"/>
      <c r="AC573" s="29"/>
      <c r="AD573" s="29"/>
      <c r="AE573" s="29"/>
      <c r="AF573" s="29"/>
    </row>
    <row r="574" ht="21.75" customHeight="1">
      <c r="A574" s="29"/>
      <c r="B574" s="29"/>
      <c r="C574" s="29"/>
      <c r="D574" s="29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29"/>
      <c r="AA574" s="29"/>
      <c r="AB574" s="29"/>
      <c r="AC574" s="29"/>
      <c r="AD574" s="29"/>
      <c r="AE574" s="29"/>
      <c r="AF574" s="29"/>
    </row>
    <row r="575" ht="21.75" customHeight="1">
      <c r="A575" s="29"/>
      <c r="B575" s="29"/>
      <c r="C575" s="29"/>
      <c r="D575" s="29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29"/>
      <c r="AA575" s="29"/>
      <c r="AB575" s="29"/>
      <c r="AC575" s="29"/>
      <c r="AD575" s="29"/>
      <c r="AE575" s="29"/>
      <c r="AF575" s="29"/>
    </row>
    <row r="576" ht="21.75" customHeight="1">
      <c r="A576" s="29"/>
      <c r="B576" s="29"/>
      <c r="C576" s="29"/>
      <c r="D576" s="29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29"/>
      <c r="AA576" s="29"/>
      <c r="AB576" s="29"/>
      <c r="AC576" s="29"/>
      <c r="AD576" s="29"/>
      <c r="AE576" s="29"/>
      <c r="AF576" s="29"/>
    </row>
    <row r="577" ht="21.75" customHeight="1">
      <c r="A577" s="29"/>
      <c r="B577" s="29"/>
      <c r="C577" s="29"/>
      <c r="D577" s="29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29"/>
      <c r="AA577" s="29"/>
      <c r="AB577" s="29"/>
      <c r="AC577" s="29"/>
      <c r="AD577" s="29"/>
      <c r="AE577" s="29"/>
      <c r="AF577" s="29"/>
    </row>
    <row r="578" ht="21.75" customHeight="1">
      <c r="A578" s="29"/>
      <c r="B578" s="29"/>
      <c r="C578" s="29"/>
      <c r="D578" s="29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29"/>
      <c r="AA578" s="29"/>
      <c r="AB578" s="29"/>
      <c r="AC578" s="29"/>
      <c r="AD578" s="29"/>
      <c r="AE578" s="29"/>
      <c r="AF578" s="29"/>
    </row>
    <row r="579" ht="21.75" customHeight="1">
      <c r="A579" s="29"/>
      <c r="B579" s="29"/>
      <c r="C579" s="29"/>
      <c r="D579" s="29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29"/>
      <c r="AA579" s="29"/>
      <c r="AB579" s="29"/>
      <c r="AC579" s="29"/>
      <c r="AD579" s="29"/>
      <c r="AE579" s="29"/>
      <c r="AF579" s="29"/>
    </row>
    <row r="580" ht="21.75" customHeight="1">
      <c r="A580" s="29"/>
      <c r="B580" s="29"/>
      <c r="C580" s="29"/>
      <c r="D580" s="29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29"/>
      <c r="AA580" s="29"/>
      <c r="AB580" s="29"/>
      <c r="AC580" s="29"/>
      <c r="AD580" s="29"/>
      <c r="AE580" s="29"/>
      <c r="AF580" s="29"/>
    </row>
    <row r="581" ht="21.75" customHeight="1">
      <c r="A581" s="29"/>
      <c r="B581" s="29"/>
      <c r="C581" s="29"/>
      <c r="D581" s="29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29"/>
      <c r="AA581" s="29"/>
      <c r="AB581" s="29"/>
      <c r="AC581" s="29"/>
      <c r="AD581" s="29"/>
      <c r="AE581" s="29"/>
      <c r="AF581" s="29"/>
    </row>
    <row r="582" ht="21.75" customHeight="1">
      <c r="A582" s="29"/>
      <c r="B582" s="29"/>
      <c r="C582" s="29"/>
      <c r="D582" s="29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29"/>
      <c r="AA582" s="29"/>
      <c r="AB582" s="29"/>
      <c r="AC582" s="29"/>
      <c r="AD582" s="29"/>
      <c r="AE582" s="29"/>
      <c r="AF582" s="29"/>
    </row>
    <row r="583" ht="21.75" customHeight="1">
      <c r="A583" s="29"/>
      <c r="B583" s="29"/>
      <c r="C583" s="29"/>
      <c r="D583" s="29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29"/>
      <c r="AA583" s="29"/>
      <c r="AB583" s="29"/>
      <c r="AC583" s="29"/>
      <c r="AD583" s="29"/>
      <c r="AE583" s="29"/>
      <c r="AF583" s="29"/>
    </row>
    <row r="584" ht="21.75" customHeight="1">
      <c r="A584" s="29"/>
      <c r="B584" s="29"/>
      <c r="C584" s="29"/>
      <c r="D584" s="29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29"/>
      <c r="AA584" s="29"/>
      <c r="AB584" s="29"/>
      <c r="AC584" s="29"/>
      <c r="AD584" s="29"/>
      <c r="AE584" s="29"/>
      <c r="AF584" s="29"/>
    </row>
    <row r="585" ht="21.75" customHeight="1">
      <c r="A585" s="29"/>
      <c r="B585" s="29"/>
      <c r="C585" s="29"/>
      <c r="D585" s="29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29"/>
      <c r="AA585" s="29"/>
      <c r="AB585" s="29"/>
      <c r="AC585" s="29"/>
      <c r="AD585" s="29"/>
      <c r="AE585" s="29"/>
      <c r="AF585" s="29"/>
    </row>
    <row r="586" ht="21.75" customHeight="1">
      <c r="A586" s="29"/>
      <c r="B586" s="29"/>
      <c r="C586" s="29"/>
      <c r="D586" s="29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29"/>
      <c r="AA586" s="29"/>
      <c r="AB586" s="29"/>
      <c r="AC586" s="29"/>
      <c r="AD586" s="29"/>
      <c r="AE586" s="29"/>
      <c r="AF586" s="29"/>
    </row>
    <row r="587" ht="21.75" customHeight="1">
      <c r="A587" s="29"/>
      <c r="B587" s="29"/>
      <c r="C587" s="29"/>
      <c r="D587" s="29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29"/>
      <c r="AA587" s="29"/>
      <c r="AB587" s="29"/>
      <c r="AC587" s="29"/>
      <c r="AD587" s="29"/>
      <c r="AE587" s="29"/>
      <c r="AF587" s="29"/>
    </row>
    <row r="588" ht="21.75" customHeight="1">
      <c r="A588" s="29"/>
      <c r="B588" s="29"/>
      <c r="C588" s="29"/>
      <c r="D588" s="29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29"/>
      <c r="AA588" s="29"/>
      <c r="AB588" s="29"/>
      <c r="AC588" s="29"/>
      <c r="AD588" s="29"/>
      <c r="AE588" s="29"/>
      <c r="AF588" s="29"/>
    </row>
    <row r="589" ht="21.75" customHeight="1">
      <c r="A589" s="29"/>
      <c r="B589" s="29"/>
      <c r="C589" s="29"/>
      <c r="D589" s="29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29"/>
      <c r="AA589" s="29"/>
      <c r="AB589" s="29"/>
      <c r="AC589" s="29"/>
      <c r="AD589" s="29"/>
      <c r="AE589" s="29"/>
      <c r="AF589" s="29"/>
    </row>
    <row r="590" ht="21.75" customHeight="1">
      <c r="A590" s="29"/>
      <c r="B590" s="29"/>
      <c r="C590" s="29"/>
      <c r="D590" s="29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29"/>
      <c r="AA590" s="29"/>
      <c r="AB590" s="29"/>
      <c r="AC590" s="29"/>
      <c r="AD590" s="29"/>
      <c r="AE590" s="29"/>
      <c r="AF590" s="29"/>
    </row>
    <row r="591" ht="21.75" customHeight="1">
      <c r="A591" s="29"/>
      <c r="B591" s="29"/>
      <c r="C591" s="29"/>
      <c r="D591" s="29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29"/>
      <c r="AA591" s="29"/>
      <c r="AB591" s="29"/>
      <c r="AC591" s="29"/>
      <c r="AD591" s="29"/>
      <c r="AE591" s="29"/>
      <c r="AF591" s="29"/>
    </row>
    <row r="592" ht="21.75" customHeight="1">
      <c r="A592" s="29"/>
      <c r="B592" s="29"/>
      <c r="C592" s="29"/>
      <c r="D592" s="29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29"/>
      <c r="AA592" s="29"/>
      <c r="AB592" s="29"/>
      <c r="AC592" s="29"/>
      <c r="AD592" s="29"/>
      <c r="AE592" s="29"/>
      <c r="AF592" s="29"/>
    </row>
    <row r="593" ht="21.75" customHeight="1">
      <c r="A593" s="29"/>
      <c r="B593" s="29"/>
      <c r="C593" s="29"/>
      <c r="D593" s="29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29"/>
      <c r="AA593" s="29"/>
      <c r="AB593" s="29"/>
      <c r="AC593" s="29"/>
      <c r="AD593" s="29"/>
      <c r="AE593" s="29"/>
      <c r="AF593" s="29"/>
    </row>
    <row r="594" ht="21.75" customHeight="1">
      <c r="A594" s="29"/>
      <c r="B594" s="29"/>
      <c r="C594" s="29"/>
      <c r="D594" s="29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29"/>
      <c r="AA594" s="29"/>
      <c r="AB594" s="29"/>
      <c r="AC594" s="29"/>
      <c r="AD594" s="29"/>
      <c r="AE594" s="29"/>
      <c r="AF594" s="29"/>
    </row>
    <row r="595" ht="21.75" customHeight="1">
      <c r="A595" s="29"/>
      <c r="B595" s="29"/>
      <c r="C595" s="29"/>
      <c r="D595" s="29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29"/>
      <c r="AA595" s="29"/>
      <c r="AB595" s="29"/>
      <c r="AC595" s="29"/>
      <c r="AD595" s="29"/>
      <c r="AE595" s="29"/>
      <c r="AF595" s="29"/>
    </row>
    <row r="596" ht="21.75" customHeight="1">
      <c r="A596" s="29"/>
      <c r="B596" s="29"/>
      <c r="C596" s="29"/>
      <c r="D596" s="29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29"/>
      <c r="AA596" s="29"/>
      <c r="AB596" s="29"/>
      <c r="AC596" s="29"/>
      <c r="AD596" s="29"/>
      <c r="AE596" s="29"/>
      <c r="AF596" s="29"/>
    </row>
    <row r="597" ht="21.75" customHeight="1">
      <c r="A597" s="29"/>
      <c r="B597" s="29"/>
      <c r="C597" s="29"/>
      <c r="D597" s="29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29"/>
      <c r="AA597" s="29"/>
      <c r="AB597" s="29"/>
      <c r="AC597" s="29"/>
      <c r="AD597" s="29"/>
      <c r="AE597" s="29"/>
      <c r="AF597" s="29"/>
    </row>
    <row r="598" ht="21.75" customHeight="1">
      <c r="A598" s="29"/>
      <c r="B598" s="29"/>
      <c r="C598" s="29"/>
      <c r="D598" s="29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29"/>
      <c r="AA598" s="29"/>
      <c r="AB598" s="29"/>
      <c r="AC598" s="29"/>
      <c r="AD598" s="29"/>
      <c r="AE598" s="29"/>
      <c r="AF598" s="29"/>
    </row>
    <row r="599" ht="21.75" customHeight="1">
      <c r="A599" s="29"/>
      <c r="B599" s="29"/>
      <c r="C599" s="29"/>
      <c r="D599" s="29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29"/>
      <c r="AA599" s="29"/>
      <c r="AB599" s="29"/>
      <c r="AC599" s="29"/>
      <c r="AD599" s="29"/>
      <c r="AE599" s="29"/>
      <c r="AF599" s="29"/>
    </row>
    <row r="600" ht="21.75" customHeight="1">
      <c r="A600" s="29"/>
      <c r="B600" s="29"/>
      <c r="C600" s="29"/>
      <c r="D600" s="29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29"/>
      <c r="AA600" s="29"/>
      <c r="AB600" s="29"/>
      <c r="AC600" s="29"/>
      <c r="AD600" s="29"/>
      <c r="AE600" s="29"/>
      <c r="AF600" s="29"/>
    </row>
    <row r="601" ht="21.75" customHeight="1">
      <c r="A601" s="29"/>
      <c r="B601" s="29"/>
      <c r="C601" s="29"/>
      <c r="D601" s="29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29"/>
      <c r="AA601" s="29"/>
      <c r="AB601" s="29"/>
      <c r="AC601" s="29"/>
      <c r="AD601" s="29"/>
      <c r="AE601" s="29"/>
      <c r="AF601" s="29"/>
    </row>
    <row r="602" ht="21.75" customHeight="1">
      <c r="A602" s="29"/>
      <c r="B602" s="29"/>
      <c r="C602" s="29"/>
      <c r="D602" s="29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29"/>
      <c r="AA602" s="29"/>
      <c r="AB602" s="29"/>
      <c r="AC602" s="29"/>
      <c r="AD602" s="29"/>
      <c r="AE602" s="29"/>
      <c r="AF602" s="29"/>
    </row>
    <row r="603" ht="21.75" customHeight="1">
      <c r="A603" s="29"/>
      <c r="B603" s="29"/>
      <c r="C603" s="29"/>
      <c r="D603" s="29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29"/>
      <c r="AA603" s="29"/>
      <c r="AB603" s="29"/>
      <c r="AC603" s="29"/>
      <c r="AD603" s="29"/>
      <c r="AE603" s="29"/>
      <c r="AF603" s="29"/>
    </row>
    <row r="604" ht="21.75" customHeight="1">
      <c r="A604" s="29"/>
      <c r="B604" s="29"/>
      <c r="C604" s="29"/>
      <c r="D604" s="29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29"/>
      <c r="AA604" s="29"/>
      <c r="AB604" s="29"/>
      <c r="AC604" s="29"/>
      <c r="AD604" s="29"/>
      <c r="AE604" s="29"/>
      <c r="AF604" s="29"/>
    </row>
    <row r="605" ht="21.75" customHeight="1">
      <c r="A605" s="29"/>
      <c r="B605" s="29"/>
      <c r="C605" s="29"/>
      <c r="D605" s="29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29"/>
      <c r="AA605" s="29"/>
      <c r="AB605" s="29"/>
      <c r="AC605" s="29"/>
      <c r="AD605" s="29"/>
      <c r="AE605" s="29"/>
      <c r="AF605" s="29"/>
    </row>
    <row r="606" ht="21.75" customHeight="1">
      <c r="A606" s="29"/>
      <c r="B606" s="29"/>
      <c r="C606" s="29"/>
      <c r="D606" s="29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29"/>
      <c r="AA606" s="29"/>
      <c r="AB606" s="29"/>
      <c r="AC606" s="29"/>
      <c r="AD606" s="29"/>
      <c r="AE606" s="29"/>
      <c r="AF606" s="29"/>
    </row>
    <row r="607" ht="21.75" customHeight="1">
      <c r="A607" s="29"/>
      <c r="B607" s="29"/>
      <c r="C607" s="29"/>
      <c r="D607" s="29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29"/>
      <c r="AA607" s="29"/>
      <c r="AB607" s="29"/>
      <c r="AC607" s="29"/>
      <c r="AD607" s="29"/>
      <c r="AE607" s="29"/>
      <c r="AF607" s="29"/>
    </row>
    <row r="608" ht="21.75" customHeight="1">
      <c r="A608" s="29"/>
      <c r="B608" s="29"/>
      <c r="C608" s="29"/>
      <c r="D608" s="29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29"/>
      <c r="AA608" s="29"/>
      <c r="AB608" s="29"/>
      <c r="AC608" s="29"/>
      <c r="AD608" s="29"/>
      <c r="AE608" s="29"/>
      <c r="AF608" s="29"/>
    </row>
    <row r="609" ht="21.75" customHeight="1">
      <c r="A609" s="29"/>
      <c r="B609" s="29"/>
      <c r="C609" s="29"/>
      <c r="D609" s="29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29"/>
      <c r="AA609" s="29"/>
      <c r="AB609" s="29"/>
      <c r="AC609" s="29"/>
      <c r="AD609" s="29"/>
      <c r="AE609" s="29"/>
      <c r="AF609" s="29"/>
    </row>
    <row r="610" ht="21.75" customHeight="1">
      <c r="A610" s="29"/>
      <c r="B610" s="29"/>
      <c r="C610" s="29"/>
      <c r="D610" s="29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29"/>
      <c r="AA610" s="29"/>
      <c r="AB610" s="29"/>
      <c r="AC610" s="29"/>
      <c r="AD610" s="29"/>
      <c r="AE610" s="29"/>
      <c r="AF610" s="29"/>
    </row>
    <row r="611" ht="21.75" customHeight="1">
      <c r="A611" s="29"/>
      <c r="B611" s="29"/>
      <c r="C611" s="29"/>
      <c r="D611" s="29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29"/>
      <c r="AA611" s="29"/>
      <c r="AB611" s="29"/>
      <c r="AC611" s="29"/>
      <c r="AD611" s="29"/>
      <c r="AE611" s="29"/>
      <c r="AF611" s="29"/>
    </row>
    <row r="612" ht="21.75" customHeight="1">
      <c r="A612" s="29"/>
      <c r="B612" s="29"/>
      <c r="C612" s="29"/>
      <c r="D612" s="29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29"/>
      <c r="AA612" s="29"/>
      <c r="AB612" s="29"/>
      <c r="AC612" s="29"/>
      <c r="AD612" s="29"/>
      <c r="AE612" s="29"/>
      <c r="AF612" s="29"/>
    </row>
    <row r="613" ht="21.75" customHeight="1">
      <c r="A613" s="29"/>
      <c r="B613" s="29"/>
      <c r="C613" s="29"/>
      <c r="D613" s="29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29"/>
      <c r="AA613" s="29"/>
      <c r="AB613" s="29"/>
      <c r="AC613" s="29"/>
      <c r="AD613" s="29"/>
      <c r="AE613" s="29"/>
      <c r="AF613" s="29"/>
    </row>
    <row r="614" ht="21.75" customHeight="1">
      <c r="A614" s="29"/>
      <c r="B614" s="29"/>
      <c r="C614" s="29"/>
      <c r="D614" s="29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29"/>
      <c r="AA614" s="29"/>
      <c r="AB614" s="29"/>
      <c r="AC614" s="29"/>
      <c r="AD614" s="29"/>
      <c r="AE614" s="29"/>
      <c r="AF614" s="29"/>
    </row>
    <row r="615" ht="21.75" customHeight="1">
      <c r="A615" s="29"/>
      <c r="B615" s="29"/>
      <c r="C615" s="29"/>
      <c r="D615" s="29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29"/>
      <c r="AA615" s="29"/>
      <c r="AB615" s="29"/>
      <c r="AC615" s="29"/>
      <c r="AD615" s="29"/>
      <c r="AE615" s="29"/>
      <c r="AF615" s="29"/>
    </row>
    <row r="616" ht="21.75" customHeight="1">
      <c r="A616" s="29"/>
      <c r="B616" s="29"/>
      <c r="C616" s="29"/>
      <c r="D616" s="29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29"/>
      <c r="AA616" s="29"/>
      <c r="AB616" s="29"/>
      <c r="AC616" s="29"/>
      <c r="AD616" s="29"/>
      <c r="AE616" s="29"/>
      <c r="AF616" s="29"/>
    </row>
    <row r="617" ht="21.75" customHeight="1">
      <c r="A617" s="29"/>
      <c r="B617" s="29"/>
      <c r="C617" s="29"/>
      <c r="D617" s="29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29"/>
      <c r="AA617" s="29"/>
      <c r="AB617" s="29"/>
      <c r="AC617" s="29"/>
      <c r="AD617" s="29"/>
      <c r="AE617" s="29"/>
      <c r="AF617" s="29"/>
    </row>
    <row r="618" ht="21.75" customHeight="1">
      <c r="A618" s="29"/>
      <c r="B618" s="29"/>
      <c r="C618" s="29"/>
      <c r="D618" s="29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29"/>
      <c r="AA618" s="29"/>
      <c r="AB618" s="29"/>
      <c r="AC618" s="29"/>
      <c r="AD618" s="29"/>
      <c r="AE618" s="29"/>
      <c r="AF618" s="29"/>
    </row>
    <row r="619" ht="21.75" customHeight="1">
      <c r="A619" s="29"/>
      <c r="B619" s="29"/>
      <c r="C619" s="29"/>
      <c r="D619" s="29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29"/>
      <c r="AA619" s="29"/>
      <c r="AB619" s="29"/>
      <c r="AC619" s="29"/>
      <c r="AD619" s="29"/>
      <c r="AE619" s="29"/>
      <c r="AF619" s="29"/>
    </row>
    <row r="620" ht="21.75" customHeight="1">
      <c r="A620" s="29"/>
      <c r="B620" s="29"/>
      <c r="C620" s="29"/>
      <c r="D620" s="29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29"/>
      <c r="AA620" s="29"/>
      <c r="AB620" s="29"/>
      <c r="AC620" s="29"/>
      <c r="AD620" s="29"/>
      <c r="AE620" s="29"/>
      <c r="AF620" s="29"/>
    </row>
    <row r="621" ht="21.75" customHeight="1">
      <c r="A621" s="29"/>
      <c r="B621" s="29"/>
      <c r="C621" s="29"/>
      <c r="D621" s="29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29"/>
      <c r="AA621" s="29"/>
      <c r="AB621" s="29"/>
      <c r="AC621" s="29"/>
      <c r="AD621" s="29"/>
      <c r="AE621" s="29"/>
      <c r="AF621" s="29"/>
    </row>
    <row r="622" ht="21.75" customHeight="1">
      <c r="A622" s="29"/>
      <c r="B622" s="29"/>
      <c r="C622" s="29"/>
      <c r="D622" s="29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29"/>
      <c r="AA622" s="29"/>
      <c r="AB622" s="29"/>
      <c r="AC622" s="29"/>
      <c r="AD622" s="29"/>
      <c r="AE622" s="29"/>
      <c r="AF622" s="29"/>
    </row>
    <row r="623" ht="21.75" customHeight="1">
      <c r="A623" s="29"/>
      <c r="B623" s="29"/>
      <c r="C623" s="29"/>
      <c r="D623" s="29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29"/>
      <c r="AA623" s="29"/>
      <c r="AB623" s="29"/>
      <c r="AC623" s="29"/>
      <c r="AD623" s="29"/>
      <c r="AE623" s="29"/>
      <c r="AF623" s="29"/>
    </row>
    <row r="624" ht="21.75" customHeight="1">
      <c r="A624" s="29"/>
      <c r="B624" s="29"/>
      <c r="C624" s="29"/>
      <c r="D624" s="29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29"/>
      <c r="AA624" s="29"/>
      <c r="AB624" s="29"/>
      <c r="AC624" s="29"/>
      <c r="AD624" s="29"/>
      <c r="AE624" s="29"/>
      <c r="AF624" s="29"/>
    </row>
    <row r="625" ht="21.75" customHeight="1">
      <c r="A625" s="29"/>
      <c r="B625" s="29"/>
      <c r="C625" s="29"/>
      <c r="D625" s="29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29"/>
      <c r="AA625" s="29"/>
      <c r="AB625" s="29"/>
      <c r="AC625" s="29"/>
      <c r="AD625" s="29"/>
      <c r="AE625" s="29"/>
      <c r="AF625" s="29"/>
    </row>
    <row r="626" ht="21.75" customHeight="1">
      <c r="A626" s="29"/>
      <c r="B626" s="29"/>
      <c r="C626" s="29"/>
      <c r="D626" s="29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29"/>
      <c r="AA626" s="29"/>
      <c r="AB626" s="29"/>
      <c r="AC626" s="29"/>
      <c r="AD626" s="29"/>
      <c r="AE626" s="29"/>
      <c r="AF626" s="29"/>
    </row>
    <row r="627" ht="21.75" customHeight="1">
      <c r="A627" s="29"/>
      <c r="B627" s="29"/>
      <c r="C627" s="29"/>
      <c r="D627" s="29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29"/>
      <c r="AA627" s="29"/>
      <c r="AB627" s="29"/>
      <c r="AC627" s="29"/>
      <c r="AD627" s="29"/>
      <c r="AE627" s="29"/>
      <c r="AF627" s="29"/>
    </row>
    <row r="628" ht="21.75" customHeight="1">
      <c r="A628" s="29"/>
      <c r="B628" s="29"/>
      <c r="C628" s="29"/>
      <c r="D628" s="29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29"/>
      <c r="AA628" s="29"/>
      <c r="AB628" s="29"/>
      <c r="AC628" s="29"/>
      <c r="AD628" s="29"/>
      <c r="AE628" s="29"/>
      <c r="AF628" s="29"/>
    </row>
    <row r="629" ht="21.75" customHeight="1">
      <c r="A629" s="29"/>
      <c r="B629" s="29"/>
      <c r="C629" s="29"/>
      <c r="D629" s="29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29"/>
      <c r="AA629" s="29"/>
      <c r="AB629" s="29"/>
      <c r="AC629" s="29"/>
      <c r="AD629" s="29"/>
      <c r="AE629" s="29"/>
      <c r="AF629" s="29"/>
    </row>
    <row r="630" ht="21.75" customHeight="1">
      <c r="A630" s="29"/>
      <c r="B630" s="29"/>
      <c r="C630" s="29"/>
      <c r="D630" s="29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29"/>
      <c r="AA630" s="29"/>
      <c r="AB630" s="29"/>
      <c r="AC630" s="29"/>
      <c r="AD630" s="29"/>
      <c r="AE630" s="29"/>
      <c r="AF630" s="29"/>
    </row>
    <row r="631" ht="21.75" customHeight="1">
      <c r="A631" s="29"/>
      <c r="B631" s="29"/>
      <c r="C631" s="29"/>
      <c r="D631" s="29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29"/>
      <c r="AA631" s="29"/>
      <c r="AB631" s="29"/>
      <c r="AC631" s="29"/>
      <c r="AD631" s="29"/>
      <c r="AE631" s="29"/>
      <c r="AF631" s="29"/>
    </row>
    <row r="632" ht="21.75" customHeight="1">
      <c r="A632" s="29"/>
      <c r="B632" s="29"/>
      <c r="C632" s="29"/>
      <c r="D632" s="29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29"/>
      <c r="AA632" s="29"/>
      <c r="AB632" s="29"/>
      <c r="AC632" s="29"/>
      <c r="AD632" s="29"/>
      <c r="AE632" s="29"/>
      <c r="AF632" s="29"/>
    </row>
    <row r="633" ht="21.75" customHeight="1">
      <c r="A633" s="29"/>
      <c r="B633" s="29"/>
      <c r="C633" s="29"/>
      <c r="D633" s="29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29"/>
      <c r="AA633" s="29"/>
      <c r="AB633" s="29"/>
      <c r="AC633" s="29"/>
      <c r="AD633" s="29"/>
      <c r="AE633" s="29"/>
      <c r="AF633" s="29"/>
    </row>
    <row r="634" ht="21.75" customHeight="1">
      <c r="A634" s="29"/>
      <c r="B634" s="29"/>
      <c r="C634" s="29"/>
      <c r="D634" s="29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29"/>
      <c r="AA634" s="29"/>
      <c r="AB634" s="29"/>
      <c r="AC634" s="29"/>
      <c r="AD634" s="29"/>
      <c r="AE634" s="29"/>
      <c r="AF634" s="29"/>
    </row>
    <row r="635" ht="21.75" customHeight="1">
      <c r="A635" s="29"/>
      <c r="B635" s="29"/>
      <c r="C635" s="29"/>
      <c r="D635" s="29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29"/>
      <c r="AA635" s="29"/>
      <c r="AB635" s="29"/>
      <c r="AC635" s="29"/>
      <c r="AD635" s="29"/>
      <c r="AE635" s="29"/>
      <c r="AF635" s="29"/>
    </row>
    <row r="636" ht="21.75" customHeight="1">
      <c r="A636" s="29"/>
      <c r="B636" s="29"/>
      <c r="C636" s="29"/>
      <c r="D636" s="29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29"/>
      <c r="AA636" s="29"/>
      <c r="AB636" s="29"/>
      <c r="AC636" s="29"/>
      <c r="AD636" s="29"/>
      <c r="AE636" s="29"/>
      <c r="AF636" s="29"/>
    </row>
    <row r="637" ht="21.75" customHeight="1">
      <c r="A637" s="29"/>
      <c r="B637" s="29"/>
      <c r="C637" s="29"/>
      <c r="D637" s="29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29"/>
      <c r="AA637" s="29"/>
      <c r="AB637" s="29"/>
      <c r="AC637" s="29"/>
      <c r="AD637" s="29"/>
      <c r="AE637" s="29"/>
      <c r="AF637" s="29"/>
    </row>
    <row r="638" ht="21.75" customHeight="1">
      <c r="A638" s="29"/>
      <c r="B638" s="29"/>
      <c r="C638" s="29"/>
      <c r="D638" s="29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29"/>
      <c r="AA638" s="29"/>
      <c r="AB638" s="29"/>
      <c r="AC638" s="29"/>
      <c r="AD638" s="29"/>
      <c r="AE638" s="29"/>
      <c r="AF638" s="29"/>
    </row>
    <row r="639" ht="21.75" customHeight="1">
      <c r="A639" s="29"/>
      <c r="B639" s="29"/>
      <c r="C639" s="29"/>
      <c r="D639" s="29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29"/>
      <c r="AA639" s="29"/>
      <c r="AB639" s="29"/>
      <c r="AC639" s="29"/>
      <c r="AD639" s="29"/>
      <c r="AE639" s="29"/>
      <c r="AF639" s="29"/>
    </row>
    <row r="640" ht="21.75" customHeight="1">
      <c r="A640" s="29"/>
      <c r="B640" s="29"/>
      <c r="C640" s="29"/>
      <c r="D640" s="29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29"/>
      <c r="AA640" s="29"/>
      <c r="AB640" s="29"/>
      <c r="AC640" s="29"/>
      <c r="AD640" s="29"/>
      <c r="AE640" s="29"/>
      <c r="AF640" s="29"/>
    </row>
    <row r="641" ht="21.75" customHeight="1">
      <c r="A641" s="29"/>
      <c r="B641" s="29"/>
      <c r="C641" s="29"/>
      <c r="D641" s="29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29"/>
      <c r="AA641" s="29"/>
      <c r="AB641" s="29"/>
      <c r="AC641" s="29"/>
      <c r="AD641" s="29"/>
      <c r="AE641" s="29"/>
      <c r="AF641" s="29"/>
    </row>
    <row r="642" ht="21.75" customHeight="1">
      <c r="A642" s="29"/>
      <c r="B642" s="29"/>
      <c r="C642" s="29"/>
      <c r="D642" s="29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29"/>
      <c r="AA642" s="29"/>
      <c r="AB642" s="29"/>
      <c r="AC642" s="29"/>
      <c r="AD642" s="29"/>
      <c r="AE642" s="29"/>
      <c r="AF642" s="29"/>
    </row>
    <row r="643" ht="21.75" customHeight="1">
      <c r="A643" s="29"/>
      <c r="B643" s="29"/>
      <c r="C643" s="29"/>
      <c r="D643" s="29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29"/>
      <c r="AA643" s="29"/>
      <c r="AB643" s="29"/>
      <c r="AC643" s="29"/>
      <c r="AD643" s="29"/>
      <c r="AE643" s="29"/>
      <c r="AF643" s="29"/>
    </row>
    <row r="644" ht="21.75" customHeight="1">
      <c r="A644" s="29"/>
      <c r="B644" s="29"/>
      <c r="C644" s="29"/>
      <c r="D644" s="29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29"/>
      <c r="AA644" s="29"/>
      <c r="AB644" s="29"/>
      <c r="AC644" s="29"/>
      <c r="AD644" s="29"/>
      <c r="AE644" s="29"/>
      <c r="AF644" s="29"/>
    </row>
    <row r="645" ht="21.75" customHeight="1">
      <c r="A645" s="29"/>
      <c r="B645" s="29"/>
      <c r="C645" s="29"/>
      <c r="D645" s="29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29"/>
      <c r="AA645" s="29"/>
      <c r="AB645" s="29"/>
      <c r="AC645" s="29"/>
      <c r="AD645" s="29"/>
      <c r="AE645" s="29"/>
      <c r="AF645" s="29"/>
    </row>
    <row r="646" ht="21.75" customHeight="1">
      <c r="A646" s="29"/>
      <c r="B646" s="29"/>
      <c r="C646" s="29"/>
      <c r="D646" s="29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29"/>
      <c r="AA646" s="29"/>
      <c r="AB646" s="29"/>
      <c r="AC646" s="29"/>
      <c r="AD646" s="29"/>
      <c r="AE646" s="29"/>
      <c r="AF646" s="29"/>
    </row>
    <row r="647" ht="21.75" customHeight="1">
      <c r="A647" s="29"/>
      <c r="B647" s="29"/>
      <c r="C647" s="29"/>
      <c r="D647" s="29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29"/>
      <c r="AA647" s="29"/>
      <c r="AB647" s="29"/>
      <c r="AC647" s="29"/>
      <c r="AD647" s="29"/>
      <c r="AE647" s="29"/>
      <c r="AF647" s="29"/>
    </row>
    <row r="648" ht="21.75" customHeight="1">
      <c r="A648" s="29"/>
      <c r="B648" s="29"/>
      <c r="C648" s="29"/>
      <c r="D648" s="29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29"/>
      <c r="AA648" s="29"/>
      <c r="AB648" s="29"/>
      <c r="AC648" s="29"/>
      <c r="AD648" s="29"/>
      <c r="AE648" s="29"/>
      <c r="AF648" s="29"/>
    </row>
    <row r="649" ht="21.75" customHeight="1">
      <c r="A649" s="29"/>
      <c r="B649" s="29"/>
      <c r="C649" s="29"/>
      <c r="D649" s="29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29"/>
      <c r="AA649" s="29"/>
      <c r="AB649" s="29"/>
      <c r="AC649" s="29"/>
      <c r="AD649" s="29"/>
      <c r="AE649" s="29"/>
      <c r="AF649" s="29"/>
    </row>
    <row r="650" ht="21.75" customHeight="1">
      <c r="A650" s="29"/>
      <c r="B650" s="29"/>
      <c r="C650" s="29"/>
      <c r="D650" s="29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29"/>
      <c r="AA650" s="29"/>
      <c r="AB650" s="29"/>
      <c r="AC650" s="29"/>
      <c r="AD650" s="29"/>
      <c r="AE650" s="29"/>
      <c r="AF650" s="29"/>
    </row>
    <row r="651" ht="21.75" customHeight="1">
      <c r="A651" s="29"/>
      <c r="B651" s="29"/>
      <c r="C651" s="29"/>
      <c r="D651" s="29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29"/>
      <c r="AA651" s="29"/>
      <c r="AB651" s="29"/>
      <c r="AC651" s="29"/>
      <c r="AD651" s="29"/>
      <c r="AE651" s="29"/>
      <c r="AF651" s="29"/>
    </row>
    <row r="652" ht="21.75" customHeight="1">
      <c r="A652" s="29"/>
      <c r="B652" s="29"/>
      <c r="C652" s="29"/>
      <c r="D652" s="29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29"/>
      <c r="AA652" s="29"/>
      <c r="AB652" s="29"/>
      <c r="AC652" s="29"/>
      <c r="AD652" s="29"/>
      <c r="AE652" s="29"/>
      <c r="AF652" s="29"/>
    </row>
    <row r="653" ht="21.75" customHeight="1">
      <c r="A653" s="29"/>
      <c r="B653" s="29"/>
      <c r="C653" s="29"/>
      <c r="D653" s="29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29"/>
      <c r="AA653" s="29"/>
      <c r="AB653" s="29"/>
      <c r="AC653" s="29"/>
      <c r="AD653" s="29"/>
      <c r="AE653" s="29"/>
      <c r="AF653" s="29"/>
    </row>
    <row r="654" ht="21.75" customHeight="1">
      <c r="A654" s="29"/>
      <c r="B654" s="29"/>
      <c r="C654" s="29"/>
      <c r="D654" s="29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29"/>
      <c r="AA654" s="29"/>
      <c r="AB654" s="29"/>
      <c r="AC654" s="29"/>
      <c r="AD654" s="29"/>
      <c r="AE654" s="29"/>
      <c r="AF654" s="29"/>
    </row>
    <row r="655" ht="21.75" customHeight="1">
      <c r="A655" s="29"/>
      <c r="B655" s="29"/>
      <c r="C655" s="29"/>
      <c r="D655" s="29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29"/>
      <c r="AA655" s="29"/>
      <c r="AB655" s="29"/>
      <c r="AC655" s="29"/>
      <c r="AD655" s="29"/>
      <c r="AE655" s="29"/>
      <c r="AF655" s="29"/>
    </row>
    <row r="656" ht="21.75" customHeight="1">
      <c r="A656" s="29"/>
      <c r="B656" s="29"/>
      <c r="C656" s="29"/>
      <c r="D656" s="29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29"/>
      <c r="AA656" s="29"/>
      <c r="AB656" s="29"/>
      <c r="AC656" s="29"/>
      <c r="AD656" s="29"/>
      <c r="AE656" s="29"/>
      <c r="AF656" s="29"/>
    </row>
    <row r="657" ht="21.75" customHeight="1">
      <c r="A657" s="29"/>
      <c r="B657" s="29"/>
      <c r="C657" s="29"/>
      <c r="D657" s="29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29"/>
      <c r="AA657" s="29"/>
      <c r="AB657" s="29"/>
      <c r="AC657" s="29"/>
      <c r="AD657" s="29"/>
      <c r="AE657" s="29"/>
      <c r="AF657" s="29"/>
    </row>
    <row r="658" ht="21.75" customHeight="1">
      <c r="A658" s="29"/>
      <c r="B658" s="29"/>
      <c r="C658" s="29"/>
      <c r="D658" s="29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29"/>
      <c r="AA658" s="29"/>
      <c r="AB658" s="29"/>
      <c r="AC658" s="29"/>
      <c r="AD658" s="29"/>
      <c r="AE658" s="29"/>
      <c r="AF658" s="29"/>
    </row>
    <row r="659" ht="21.75" customHeight="1">
      <c r="A659" s="29"/>
      <c r="B659" s="29"/>
      <c r="C659" s="29"/>
      <c r="D659" s="29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29"/>
      <c r="AA659" s="29"/>
      <c r="AB659" s="29"/>
      <c r="AC659" s="29"/>
      <c r="AD659" s="29"/>
      <c r="AE659" s="29"/>
      <c r="AF659" s="29"/>
    </row>
    <row r="660" ht="21.75" customHeight="1">
      <c r="A660" s="29"/>
      <c r="B660" s="29"/>
      <c r="C660" s="29"/>
      <c r="D660" s="29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29"/>
      <c r="AA660" s="29"/>
      <c r="AB660" s="29"/>
      <c r="AC660" s="29"/>
      <c r="AD660" s="29"/>
      <c r="AE660" s="29"/>
      <c r="AF660" s="29"/>
    </row>
    <row r="661" ht="21.75" customHeight="1">
      <c r="A661" s="29"/>
      <c r="B661" s="29"/>
      <c r="C661" s="29"/>
      <c r="D661" s="29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29"/>
      <c r="AA661" s="29"/>
      <c r="AB661" s="29"/>
      <c r="AC661" s="29"/>
      <c r="AD661" s="29"/>
      <c r="AE661" s="29"/>
      <c r="AF661" s="29"/>
    </row>
    <row r="662" ht="21.75" customHeight="1">
      <c r="A662" s="29"/>
      <c r="B662" s="29"/>
      <c r="C662" s="29"/>
      <c r="D662" s="29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29"/>
      <c r="AA662" s="29"/>
      <c r="AB662" s="29"/>
      <c r="AC662" s="29"/>
      <c r="AD662" s="29"/>
      <c r="AE662" s="29"/>
      <c r="AF662" s="29"/>
    </row>
    <row r="663" ht="21.75" customHeight="1">
      <c r="A663" s="29"/>
      <c r="B663" s="29"/>
      <c r="C663" s="29"/>
      <c r="D663" s="29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29"/>
      <c r="AA663" s="29"/>
      <c r="AB663" s="29"/>
      <c r="AC663" s="29"/>
      <c r="AD663" s="29"/>
      <c r="AE663" s="29"/>
      <c r="AF663" s="29"/>
    </row>
    <row r="664" ht="21.75" customHeight="1">
      <c r="A664" s="29"/>
      <c r="B664" s="29"/>
      <c r="C664" s="29"/>
      <c r="D664" s="29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29"/>
      <c r="AA664" s="29"/>
      <c r="AB664" s="29"/>
      <c r="AC664" s="29"/>
      <c r="AD664" s="29"/>
      <c r="AE664" s="29"/>
      <c r="AF664" s="29"/>
    </row>
    <row r="665" ht="21.75" customHeight="1">
      <c r="A665" s="29"/>
      <c r="B665" s="29"/>
      <c r="C665" s="29"/>
      <c r="D665" s="29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29"/>
      <c r="AA665" s="29"/>
      <c r="AB665" s="29"/>
      <c r="AC665" s="29"/>
      <c r="AD665" s="29"/>
      <c r="AE665" s="29"/>
      <c r="AF665" s="29"/>
    </row>
    <row r="666" ht="21.75" customHeight="1">
      <c r="A666" s="29"/>
      <c r="B666" s="29"/>
      <c r="C666" s="29"/>
      <c r="D666" s="29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29"/>
      <c r="AA666" s="29"/>
      <c r="AB666" s="29"/>
      <c r="AC666" s="29"/>
      <c r="AD666" s="29"/>
      <c r="AE666" s="29"/>
      <c r="AF666" s="29"/>
    </row>
    <row r="667" ht="21.75" customHeight="1">
      <c r="A667" s="29"/>
      <c r="B667" s="29"/>
      <c r="C667" s="29"/>
      <c r="D667" s="29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29"/>
      <c r="AA667" s="29"/>
      <c r="AB667" s="29"/>
      <c r="AC667" s="29"/>
      <c r="AD667" s="29"/>
      <c r="AE667" s="29"/>
      <c r="AF667" s="29"/>
    </row>
    <row r="668" ht="21.75" customHeight="1">
      <c r="A668" s="29"/>
      <c r="B668" s="29"/>
      <c r="C668" s="29"/>
      <c r="D668" s="29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29"/>
      <c r="AA668" s="29"/>
      <c r="AB668" s="29"/>
      <c r="AC668" s="29"/>
      <c r="AD668" s="29"/>
      <c r="AE668" s="29"/>
      <c r="AF668" s="29"/>
    </row>
    <row r="669" ht="21.75" customHeight="1">
      <c r="A669" s="29"/>
      <c r="B669" s="29"/>
      <c r="C669" s="29"/>
      <c r="D669" s="29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29"/>
      <c r="AA669" s="29"/>
      <c r="AB669" s="29"/>
      <c r="AC669" s="29"/>
      <c r="AD669" s="29"/>
      <c r="AE669" s="29"/>
      <c r="AF669" s="29"/>
    </row>
    <row r="670" ht="21.75" customHeight="1">
      <c r="A670" s="29"/>
      <c r="B670" s="29"/>
      <c r="C670" s="29"/>
      <c r="D670" s="29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29"/>
      <c r="AA670" s="29"/>
      <c r="AB670" s="29"/>
      <c r="AC670" s="29"/>
      <c r="AD670" s="29"/>
      <c r="AE670" s="29"/>
      <c r="AF670" s="29"/>
    </row>
    <row r="671" ht="21.75" customHeight="1">
      <c r="A671" s="29"/>
      <c r="B671" s="29"/>
      <c r="C671" s="29"/>
      <c r="D671" s="29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29"/>
      <c r="AA671" s="29"/>
      <c r="AB671" s="29"/>
      <c r="AC671" s="29"/>
      <c r="AD671" s="29"/>
      <c r="AE671" s="29"/>
      <c r="AF671" s="29"/>
    </row>
    <row r="672" ht="21.75" customHeight="1">
      <c r="A672" s="29"/>
      <c r="B672" s="29"/>
      <c r="C672" s="29"/>
      <c r="D672" s="29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29"/>
      <c r="AA672" s="29"/>
      <c r="AB672" s="29"/>
      <c r="AC672" s="29"/>
      <c r="AD672" s="29"/>
      <c r="AE672" s="29"/>
      <c r="AF672" s="29"/>
    </row>
    <row r="673" ht="21.75" customHeight="1">
      <c r="A673" s="29"/>
      <c r="B673" s="29"/>
      <c r="C673" s="29"/>
      <c r="D673" s="29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29"/>
      <c r="AA673" s="29"/>
      <c r="AB673" s="29"/>
      <c r="AC673" s="29"/>
      <c r="AD673" s="29"/>
      <c r="AE673" s="29"/>
      <c r="AF673" s="29"/>
    </row>
    <row r="674" ht="21.75" customHeight="1">
      <c r="A674" s="29"/>
      <c r="B674" s="29"/>
      <c r="C674" s="29"/>
      <c r="D674" s="29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29"/>
      <c r="AA674" s="29"/>
      <c r="AB674" s="29"/>
      <c r="AC674" s="29"/>
      <c r="AD674" s="29"/>
      <c r="AE674" s="29"/>
      <c r="AF674" s="29"/>
    </row>
    <row r="675" ht="21.75" customHeight="1">
      <c r="A675" s="29"/>
      <c r="B675" s="29"/>
      <c r="C675" s="29"/>
      <c r="D675" s="29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29"/>
      <c r="AA675" s="29"/>
      <c r="AB675" s="29"/>
      <c r="AC675" s="29"/>
      <c r="AD675" s="29"/>
      <c r="AE675" s="29"/>
      <c r="AF675" s="29"/>
    </row>
    <row r="676" ht="21.75" customHeight="1">
      <c r="A676" s="29"/>
      <c r="B676" s="29"/>
      <c r="C676" s="29"/>
      <c r="D676" s="29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29"/>
      <c r="AA676" s="29"/>
      <c r="AB676" s="29"/>
      <c r="AC676" s="29"/>
      <c r="AD676" s="29"/>
      <c r="AE676" s="29"/>
      <c r="AF676" s="29"/>
    </row>
    <row r="677" ht="21.75" customHeight="1">
      <c r="A677" s="29"/>
      <c r="B677" s="29"/>
      <c r="C677" s="29"/>
      <c r="D677" s="29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29"/>
      <c r="AA677" s="29"/>
      <c r="AB677" s="29"/>
      <c r="AC677" s="29"/>
      <c r="AD677" s="29"/>
      <c r="AE677" s="29"/>
      <c r="AF677" s="29"/>
    </row>
    <row r="678" ht="21.75" customHeight="1">
      <c r="A678" s="29"/>
      <c r="B678" s="29"/>
      <c r="C678" s="29"/>
      <c r="D678" s="29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29"/>
      <c r="AA678" s="29"/>
      <c r="AB678" s="29"/>
      <c r="AC678" s="29"/>
      <c r="AD678" s="29"/>
      <c r="AE678" s="29"/>
      <c r="AF678" s="29"/>
    </row>
    <row r="679" ht="21.75" customHeight="1">
      <c r="A679" s="29"/>
      <c r="B679" s="29"/>
      <c r="C679" s="29"/>
      <c r="D679" s="29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29"/>
      <c r="AA679" s="29"/>
      <c r="AB679" s="29"/>
      <c r="AC679" s="29"/>
      <c r="AD679" s="29"/>
      <c r="AE679" s="29"/>
      <c r="AF679" s="29"/>
    </row>
    <row r="680" ht="21.75" customHeight="1">
      <c r="A680" s="29"/>
      <c r="B680" s="29"/>
      <c r="C680" s="29"/>
      <c r="D680" s="29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29"/>
      <c r="AA680" s="29"/>
      <c r="AB680" s="29"/>
      <c r="AC680" s="29"/>
      <c r="AD680" s="29"/>
      <c r="AE680" s="29"/>
      <c r="AF680" s="29"/>
    </row>
    <row r="681" ht="21.75" customHeight="1">
      <c r="A681" s="29"/>
      <c r="B681" s="29"/>
      <c r="C681" s="29"/>
      <c r="D681" s="29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29"/>
      <c r="AA681" s="29"/>
      <c r="AB681" s="29"/>
      <c r="AC681" s="29"/>
      <c r="AD681" s="29"/>
      <c r="AE681" s="29"/>
      <c r="AF681" s="29"/>
    </row>
    <row r="682" ht="21.75" customHeight="1">
      <c r="A682" s="29"/>
      <c r="B682" s="29"/>
      <c r="C682" s="29"/>
      <c r="D682" s="29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29"/>
      <c r="AA682" s="29"/>
      <c r="AB682" s="29"/>
      <c r="AC682" s="29"/>
      <c r="AD682" s="29"/>
      <c r="AE682" s="29"/>
      <c r="AF682" s="29"/>
    </row>
    <row r="683" ht="21.75" customHeight="1">
      <c r="A683" s="29"/>
      <c r="B683" s="29"/>
      <c r="C683" s="29"/>
      <c r="D683" s="29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29"/>
      <c r="AA683" s="29"/>
      <c r="AB683" s="29"/>
      <c r="AC683" s="29"/>
      <c r="AD683" s="29"/>
      <c r="AE683" s="29"/>
      <c r="AF683" s="29"/>
    </row>
    <row r="684" ht="21.75" customHeight="1">
      <c r="A684" s="29"/>
      <c r="B684" s="29"/>
      <c r="C684" s="29"/>
      <c r="D684" s="29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29"/>
      <c r="AA684" s="29"/>
      <c r="AB684" s="29"/>
      <c r="AC684" s="29"/>
      <c r="AD684" s="29"/>
      <c r="AE684" s="29"/>
      <c r="AF684" s="29"/>
    </row>
    <row r="685" ht="21.75" customHeight="1">
      <c r="A685" s="29"/>
      <c r="B685" s="29"/>
      <c r="C685" s="29"/>
      <c r="D685" s="29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29"/>
      <c r="AA685" s="29"/>
      <c r="AB685" s="29"/>
      <c r="AC685" s="29"/>
      <c r="AD685" s="29"/>
      <c r="AE685" s="29"/>
      <c r="AF685" s="29"/>
    </row>
    <row r="686" ht="21.75" customHeight="1">
      <c r="A686" s="29"/>
      <c r="B686" s="29"/>
      <c r="C686" s="29"/>
      <c r="D686" s="29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29"/>
      <c r="AA686" s="29"/>
      <c r="AB686" s="29"/>
      <c r="AC686" s="29"/>
      <c r="AD686" s="29"/>
      <c r="AE686" s="29"/>
      <c r="AF686" s="29"/>
    </row>
    <row r="687" ht="21.75" customHeight="1">
      <c r="A687" s="29"/>
      <c r="B687" s="29"/>
      <c r="C687" s="29"/>
      <c r="D687" s="29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29"/>
      <c r="AA687" s="29"/>
      <c r="AB687" s="29"/>
      <c r="AC687" s="29"/>
      <c r="AD687" s="29"/>
      <c r="AE687" s="29"/>
      <c r="AF687" s="29"/>
    </row>
    <row r="688" ht="21.75" customHeight="1">
      <c r="A688" s="29"/>
      <c r="B688" s="29"/>
      <c r="C688" s="29"/>
      <c r="D688" s="29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29"/>
      <c r="AA688" s="29"/>
      <c r="AB688" s="29"/>
      <c r="AC688" s="29"/>
      <c r="AD688" s="29"/>
      <c r="AE688" s="29"/>
      <c r="AF688" s="29"/>
    </row>
    <row r="689" ht="21.75" customHeight="1">
      <c r="A689" s="29"/>
      <c r="B689" s="29"/>
      <c r="C689" s="29"/>
      <c r="D689" s="29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29"/>
      <c r="AA689" s="29"/>
      <c r="AB689" s="29"/>
      <c r="AC689" s="29"/>
      <c r="AD689" s="29"/>
      <c r="AE689" s="29"/>
      <c r="AF689" s="29"/>
    </row>
    <row r="690" ht="21.75" customHeight="1">
      <c r="A690" s="29"/>
      <c r="B690" s="29"/>
      <c r="C690" s="29"/>
      <c r="D690" s="29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29"/>
      <c r="AA690" s="29"/>
      <c r="AB690" s="29"/>
      <c r="AC690" s="29"/>
      <c r="AD690" s="29"/>
      <c r="AE690" s="29"/>
      <c r="AF690" s="29"/>
    </row>
    <row r="691" ht="21.75" customHeight="1">
      <c r="A691" s="29"/>
      <c r="B691" s="29"/>
      <c r="C691" s="29"/>
      <c r="D691" s="29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29"/>
      <c r="AA691" s="29"/>
      <c r="AB691" s="29"/>
      <c r="AC691" s="29"/>
      <c r="AD691" s="29"/>
      <c r="AE691" s="29"/>
      <c r="AF691" s="29"/>
    </row>
    <row r="692" ht="21.75" customHeight="1">
      <c r="A692" s="29"/>
      <c r="B692" s="29"/>
      <c r="C692" s="29"/>
      <c r="D692" s="29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29"/>
      <c r="AA692" s="29"/>
      <c r="AB692" s="29"/>
      <c r="AC692" s="29"/>
      <c r="AD692" s="29"/>
      <c r="AE692" s="29"/>
      <c r="AF692" s="29"/>
    </row>
    <row r="693" ht="21.75" customHeight="1">
      <c r="A693" s="29"/>
      <c r="B693" s="29"/>
      <c r="C693" s="29"/>
      <c r="D693" s="29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29"/>
      <c r="AA693" s="29"/>
      <c r="AB693" s="29"/>
      <c r="AC693" s="29"/>
      <c r="AD693" s="29"/>
      <c r="AE693" s="29"/>
      <c r="AF693" s="29"/>
    </row>
    <row r="694" ht="21.75" customHeight="1">
      <c r="A694" s="29"/>
      <c r="B694" s="29"/>
      <c r="C694" s="29"/>
      <c r="D694" s="29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29"/>
      <c r="AA694" s="29"/>
      <c r="AB694" s="29"/>
      <c r="AC694" s="29"/>
      <c r="AD694" s="29"/>
      <c r="AE694" s="29"/>
      <c r="AF694" s="29"/>
    </row>
    <row r="695" ht="21.75" customHeight="1">
      <c r="A695" s="29"/>
      <c r="B695" s="29"/>
      <c r="C695" s="29"/>
      <c r="D695" s="29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29"/>
      <c r="AA695" s="29"/>
      <c r="AB695" s="29"/>
      <c r="AC695" s="29"/>
      <c r="AD695" s="29"/>
      <c r="AE695" s="29"/>
      <c r="AF695" s="29"/>
    </row>
    <row r="696" ht="21.75" customHeight="1">
      <c r="A696" s="29"/>
      <c r="B696" s="29"/>
      <c r="C696" s="29"/>
      <c r="D696" s="29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29"/>
      <c r="AA696" s="29"/>
      <c r="AB696" s="29"/>
      <c r="AC696" s="29"/>
      <c r="AD696" s="29"/>
      <c r="AE696" s="29"/>
      <c r="AF696" s="29"/>
    </row>
    <row r="697" ht="21.75" customHeight="1">
      <c r="A697" s="29"/>
      <c r="B697" s="29"/>
      <c r="C697" s="29"/>
      <c r="D697" s="29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29"/>
      <c r="AA697" s="29"/>
      <c r="AB697" s="29"/>
      <c r="AC697" s="29"/>
      <c r="AD697" s="29"/>
      <c r="AE697" s="29"/>
      <c r="AF697" s="29"/>
    </row>
    <row r="698" ht="21.75" customHeight="1">
      <c r="A698" s="29"/>
      <c r="B698" s="29"/>
      <c r="C698" s="29"/>
      <c r="D698" s="29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29"/>
      <c r="AA698" s="29"/>
      <c r="AB698" s="29"/>
      <c r="AC698" s="29"/>
      <c r="AD698" s="29"/>
      <c r="AE698" s="29"/>
      <c r="AF698" s="29"/>
    </row>
    <row r="699" ht="21.75" customHeight="1">
      <c r="A699" s="29"/>
      <c r="B699" s="29"/>
      <c r="C699" s="29"/>
      <c r="D699" s="29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29"/>
      <c r="AA699" s="29"/>
      <c r="AB699" s="29"/>
      <c r="AC699" s="29"/>
      <c r="AD699" s="29"/>
      <c r="AE699" s="29"/>
      <c r="AF699" s="29"/>
    </row>
    <row r="700" ht="21.75" customHeight="1">
      <c r="A700" s="29"/>
      <c r="B700" s="29"/>
      <c r="C700" s="29"/>
      <c r="D700" s="29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29"/>
      <c r="AA700" s="29"/>
      <c r="AB700" s="29"/>
      <c r="AC700" s="29"/>
      <c r="AD700" s="29"/>
      <c r="AE700" s="29"/>
      <c r="AF700" s="29"/>
    </row>
    <row r="701" ht="21.75" customHeight="1">
      <c r="A701" s="29"/>
      <c r="B701" s="29"/>
      <c r="C701" s="29"/>
      <c r="D701" s="29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29"/>
      <c r="AA701" s="29"/>
      <c r="AB701" s="29"/>
      <c r="AC701" s="29"/>
      <c r="AD701" s="29"/>
      <c r="AE701" s="29"/>
      <c r="AF701" s="29"/>
    </row>
    <row r="702" ht="21.75" customHeight="1">
      <c r="A702" s="29"/>
      <c r="B702" s="29"/>
      <c r="C702" s="29"/>
      <c r="D702" s="29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29"/>
      <c r="AA702" s="29"/>
      <c r="AB702" s="29"/>
      <c r="AC702" s="29"/>
      <c r="AD702" s="29"/>
      <c r="AE702" s="29"/>
      <c r="AF702" s="29"/>
    </row>
    <row r="703" ht="21.75" customHeight="1">
      <c r="A703" s="29"/>
      <c r="B703" s="29"/>
      <c r="C703" s="29"/>
      <c r="D703" s="29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29"/>
      <c r="AA703" s="29"/>
      <c r="AB703" s="29"/>
      <c r="AC703" s="29"/>
      <c r="AD703" s="29"/>
      <c r="AE703" s="29"/>
      <c r="AF703" s="29"/>
    </row>
    <row r="704" ht="21.75" customHeight="1">
      <c r="A704" s="29"/>
      <c r="B704" s="29"/>
      <c r="C704" s="29"/>
      <c r="D704" s="29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29"/>
      <c r="AA704" s="29"/>
      <c r="AB704" s="29"/>
      <c r="AC704" s="29"/>
      <c r="AD704" s="29"/>
      <c r="AE704" s="29"/>
      <c r="AF704" s="29"/>
    </row>
    <row r="705" ht="21.75" customHeight="1">
      <c r="A705" s="29"/>
      <c r="B705" s="29"/>
      <c r="C705" s="29"/>
      <c r="D705" s="29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29"/>
      <c r="AA705" s="29"/>
      <c r="AB705" s="29"/>
      <c r="AC705" s="29"/>
      <c r="AD705" s="29"/>
      <c r="AE705" s="29"/>
      <c r="AF705" s="29"/>
    </row>
    <row r="706" ht="21.75" customHeight="1">
      <c r="A706" s="29"/>
      <c r="B706" s="29"/>
      <c r="C706" s="29"/>
      <c r="D706" s="29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29"/>
      <c r="AA706" s="29"/>
      <c r="AB706" s="29"/>
      <c r="AC706" s="29"/>
      <c r="AD706" s="29"/>
      <c r="AE706" s="29"/>
      <c r="AF706" s="29"/>
    </row>
    <row r="707" ht="21.75" customHeight="1">
      <c r="A707" s="29"/>
      <c r="B707" s="29"/>
      <c r="C707" s="29"/>
      <c r="D707" s="29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29"/>
      <c r="AA707" s="29"/>
      <c r="AB707" s="29"/>
      <c r="AC707" s="29"/>
      <c r="AD707" s="29"/>
      <c r="AE707" s="29"/>
      <c r="AF707" s="29"/>
    </row>
    <row r="708" ht="21.75" customHeight="1">
      <c r="A708" s="29"/>
      <c r="B708" s="29"/>
      <c r="C708" s="29"/>
      <c r="D708" s="29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29"/>
      <c r="AA708" s="29"/>
      <c r="AB708" s="29"/>
      <c r="AC708" s="29"/>
      <c r="AD708" s="29"/>
      <c r="AE708" s="29"/>
      <c r="AF708" s="29"/>
    </row>
    <row r="709" ht="21.75" customHeight="1">
      <c r="A709" s="29"/>
      <c r="B709" s="29"/>
      <c r="C709" s="29"/>
      <c r="D709" s="29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29"/>
      <c r="AA709" s="29"/>
      <c r="AB709" s="29"/>
      <c r="AC709" s="29"/>
      <c r="AD709" s="29"/>
      <c r="AE709" s="29"/>
      <c r="AF709" s="29"/>
    </row>
    <row r="710" ht="21.75" customHeight="1">
      <c r="A710" s="29"/>
      <c r="B710" s="29"/>
      <c r="C710" s="29"/>
      <c r="D710" s="29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29"/>
      <c r="AA710" s="29"/>
      <c r="AB710" s="29"/>
      <c r="AC710" s="29"/>
      <c r="AD710" s="29"/>
      <c r="AE710" s="29"/>
      <c r="AF710" s="29"/>
    </row>
    <row r="711" ht="21.75" customHeight="1">
      <c r="A711" s="29"/>
      <c r="B711" s="29"/>
      <c r="C711" s="29"/>
      <c r="D711" s="29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29"/>
      <c r="AA711" s="29"/>
      <c r="AB711" s="29"/>
      <c r="AC711" s="29"/>
      <c r="AD711" s="29"/>
      <c r="AE711" s="29"/>
      <c r="AF711" s="29"/>
    </row>
    <row r="712" ht="21.75" customHeight="1">
      <c r="A712" s="29"/>
      <c r="B712" s="29"/>
      <c r="C712" s="29"/>
      <c r="D712" s="29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29"/>
      <c r="AA712" s="29"/>
      <c r="AB712" s="29"/>
      <c r="AC712" s="29"/>
      <c r="AD712" s="29"/>
      <c r="AE712" s="29"/>
      <c r="AF712" s="29"/>
    </row>
    <row r="713" ht="21.75" customHeight="1">
      <c r="A713" s="29"/>
      <c r="B713" s="29"/>
      <c r="C713" s="29"/>
      <c r="D713" s="29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29"/>
      <c r="AA713" s="29"/>
      <c r="AB713" s="29"/>
      <c r="AC713" s="29"/>
      <c r="AD713" s="29"/>
      <c r="AE713" s="29"/>
      <c r="AF713" s="29"/>
    </row>
    <row r="714" ht="21.75" customHeight="1">
      <c r="A714" s="29"/>
      <c r="B714" s="29"/>
      <c r="C714" s="29"/>
      <c r="D714" s="29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29"/>
      <c r="AA714" s="29"/>
      <c r="AB714" s="29"/>
      <c r="AC714" s="29"/>
      <c r="AD714" s="29"/>
      <c r="AE714" s="29"/>
      <c r="AF714" s="29"/>
    </row>
    <row r="715" ht="21.75" customHeight="1">
      <c r="A715" s="29"/>
      <c r="B715" s="29"/>
      <c r="C715" s="29"/>
      <c r="D715" s="29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29"/>
      <c r="AA715" s="29"/>
      <c r="AB715" s="29"/>
      <c r="AC715" s="29"/>
      <c r="AD715" s="29"/>
      <c r="AE715" s="29"/>
      <c r="AF715" s="29"/>
    </row>
    <row r="716" ht="21.75" customHeight="1">
      <c r="A716" s="29"/>
      <c r="B716" s="29"/>
      <c r="C716" s="29"/>
      <c r="D716" s="29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29"/>
      <c r="AA716" s="29"/>
      <c r="AB716" s="29"/>
      <c r="AC716" s="29"/>
      <c r="AD716" s="29"/>
      <c r="AE716" s="29"/>
      <c r="AF716" s="29"/>
    </row>
    <row r="717" ht="21.75" customHeight="1">
      <c r="A717" s="29"/>
      <c r="B717" s="29"/>
      <c r="C717" s="29"/>
      <c r="D717" s="29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29"/>
      <c r="AA717" s="29"/>
      <c r="AB717" s="29"/>
      <c r="AC717" s="29"/>
      <c r="AD717" s="29"/>
      <c r="AE717" s="29"/>
      <c r="AF717" s="29"/>
    </row>
    <row r="718" ht="21.75" customHeight="1">
      <c r="A718" s="29"/>
      <c r="B718" s="29"/>
      <c r="C718" s="29"/>
      <c r="D718" s="29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29"/>
      <c r="AA718" s="29"/>
      <c r="AB718" s="29"/>
      <c r="AC718" s="29"/>
      <c r="AD718" s="29"/>
      <c r="AE718" s="29"/>
      <c r="AF718" s="29"/>
    </row>
    <row r="719" ht="21.75" customHeight="1">
      <c r="A719" s="29"/>
      <c r="B719" s="29"/>
      <c r="C719" s="29"/>
      <c r="D719" s="29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29"/>
      <c r="AA719" s="29"/>
      <c r="AB719" s="29"/>
      <c r="AC719" s="29"/>
      <c r="AD719" s="29"/>
      <c r="AE719" s="29"/>
      <c r="AF719" s="29"/>
    </row>
    <row r="720" ht="21.75" customHeight="1">
      <c r="A720" s="29"/>
      <c r="B720" s="29"/>
      <c r="C720" s="29"/>
      <c r="D720" s="29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29"/>
      <c r="AA720" s="29"/>
      <c r="AB720" s="29"/>
      <c r="AC720" s="29"/>
      <c r="AD720" s="29"/>
      <c r="AE720" s="29"/>
      <c r="AF720" s="29"/>
    </row>
    <row r="721" ht="21.75" customHeight="1">
      <c r="A721" s="29"/>
      <c r="B721" s="29"/>
      <c r="C721" s="29"/>
      <c r="D721" s="29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29"/>
      <c r="AA721" s="29"/>
      <c r="AB721" s="29"/>
      <c r="AC721" s="29"/>
      <c r="AD721" s="29"/>
      <c r="AE721" s="29"/>
      <c r="AF721" s="29"/>
    </row>
    <row r="722" ht="21.75" customHeight="1">
      <c r="A722" s="29"/>
      <c r="B722" s="29"/>
      <c r="C722" s="29"/>
      <c r="D722" s="29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29"/>
      <c r="AA722" s="29"/>
      <c r="AB722" s="29"/>
      <c r="AC722" s="29"/>
      <c r="AD722" s="29"/>
      <c r="AE722" s="29"/>
      <c r="AF722" s="29"/>
    </row>
    <row r="723" ht="21.75" customHeight="1">
      <c r="A723" s="29"/>
      <c r="B723" s="29"/>
      <c r="C723" s="29"/>
      <c r="D723" s="29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29"/>
      <c r="AA723" s="29"/>
      <c r="AB723" s="29"/>
      <c r="AC723" s="29"/>
      <c r="AD723" s="29"/>
      <c r="AE723" s="29"/>
      <c r="AF723" s="29"/>
    </row>
    <row r="724" ht="21.75" customHeight="1">
      <c r="A724" s="29"/>
      <c r="B724" s="29"/>
      <c r="C724" s="29"/>
      <c r="D724" s="29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29"/>
      <c r="AA724" s="29"/>
      <c r="AB724" s="29"/>
      <c r="AC724" s="29"/>
      <c r="AD724" s="29"/>
      <c r="AE724" s="29"/>
      <c r="AF724" s="29"/>
    </row>
    <row r="725" ht="21.75" customHeight="1">
      <c r="A725" s="29"/>
      <c r="B725" s="29"/>
      <c r="C725" s="29"/>
      <c r="D725" s="29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29"/>
      <c r="AA725" s="29"/>
      <c r="AB725" s="29"/>
      <c r="AC725" s="29"/>
      <c r="AD725" s="29"/>
      <c r="AE725" s="29"/>
      <c r="AF725" s="29"/>
    </row>
    <row r="726" ht="21.75" customHeight="1">
      <c r="A726" s="29"/>
      <c r="B726" s="29"/>
      <c r="C726" s="29"/>
      <c r="D726" s="29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29"/>
      <c r="AA726" s="29"/>
      <c r="AB726" s="29"/>
      <c r="AC726" s="29"/>
      <c r="AD726" s="29"/>
      <c r="AE726" s="29"/>
      <c r="AF726" s="29"/>
    </row>
    <row r="727" ht="21.75" customHeight="1">
      <c r="A727" s="29"/>
      <c r="B727" s="29"/>
      <c r="C727" s="29"/>
      <c r="D727" s="29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29"/>
      <c r="AA727" s="29"/>
      <c r="AB727" s="29"/>
      <c r="AC727" s="29"/>
      <c r="AD727" s="29"/>
      <c r="AE727" s="29"/>
      <c r="AF727" s="29"/>
    </row>
    <row r="728" ht="21.75" customHeight="1">
      <c r="A728" s="29"/>
      <c r="B728" s="29"/>
      <c r="C728" s="29"/>
      <c r="D728" s="29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29"/>
      <c r="AA728" s="29"/>
      <c r="AB728" s="29"/>
      <c r="AC728" s="29"/>
      <c r="AD728" s="29"/>
      <c r="AE728" s="29"/>
      <c r="AF728" s="29"/>
    </row>
    <row r="729" ht="21.75" customHeight="1">
      <c r="A729" s="29"/>
      <c r="B729" s="29"/>
      <c r="C729" s="29"/>
      <c r="D729" s="29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29"/>
      <c r="AA729" s="29"/>
      <c r="AB729" s="29"/>
      <c r="AC729" s="29"/>
      <c r="AD729" s="29"/>
      <c r="AE729" s="29"/>
      <c r="AF729" s="29"/>
    </row>
    <row r="730" ht="21.75" customHeight="1">
      <c r="A730" s="29"/>
      <c r="B730" s="29"/>
      <c r="C730" s="29"/>
      <c r="D730" s="29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29"/>
      <c r="AA730" s="29"/>
      <c r="AB730" s="29"/>
      <c r="AC730" s="29"/>
      <c r="AD730" s="29"/>
      <c r="AE730" s="29"/>
      <c r="AF730" s="29"/>
    </row>
    <row r="731" ht="21.75" customHeight="1">
      <c r="A731" s="29"/>
      <c r="B731" s="29"/>
      <c r="C731" s="29"/>
      <c r="D731" s="29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29"/>
      <c r="AA731" s="29"/>
      <c r="AB731" s="29"/>
      <c r="AC731" s="29"/>
      <c r="AD731" s="29"/>
      <c r="AE731" s="29"/>
      <c r="AF731" s="29"/>
    </row>
    <row r="732" ht="21.75" customHeight="1">
      <c r="A732" s="29"/>
      <c r="B732" s="29"/>
      <c r="C732" s="29"/>
      <c r="D732" s="29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29"/>
      <c r="AA732" s="29"/>
      <c r="AB732" s="29"/>
      <c r="AC732" s="29"/>
      <c r="AD732" s="29"/>
      <c r="AE732" s="29"/>
      <c r="AF732" s="29"/>
    </row>
    <row r="733" ht="21.75" customHeight="1">
      <c r="A733" s="29"/>
      <c r="B733" s="29"/>
      <c r="C733" s="29"/>
      <c r="D733" s="29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29"/>
      <c r="AA733" s="29"/>
      <c r="AB733" s="29"/>
      <c r="AC733" s="29"/>
      <c r="AD733" s="29"/>
      <c r="AE733" s="29"/>
      <c r="AF733" s="29"/>
    </row>
    <row r="734" ht="21.75" customHeight="1">
      <c r="A734" s="29"/>
      <c r="B734" s="29"/>
      <c r="C734" s="29"/>
      <c r="D734" s="29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29"/>
      <c r="AA734" s="29"/>
      <c r="AB734" s="29"/>
      <c r="AC734" s="29"/>
      <c r="AD734" s="29"/>
      <c r="AE734" s="29"/>
      <c r="AF734" s="29"/>
    </row>
    <row r="735" ht="21.75" customHeight="1">
      <c r="A735" s="29"/>
      <c r="B735" s="29"/>
      <c r="C735" s="29"/>
      <c r="D735" s="29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29"/>
      <c r="AA735" s="29"/>
      <c r="AB735" s="29"/>
      <c r="AC735" s="29"/>
      <c r="AD735" s="29"/>
      <c r="AE735" s="29"/>
      <c r="AF735" s="29"/>
    </row>
    <row r="736" ht="21.75" customHeight="1">
      <c r="A736" s="29"/>
      <c r="B736" s="29"/>
      <c r="C736" s="29"/>
      <c r="D736" s="29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29"/>
      <c r="AA736" s="29"/>
      <c r="AB736" s="29"/>
      <c r="AC736" s="29"/>
      <c r="AD736" s="29"/>
      <c r="AE736" s="29"/>
      <c r="AF736" s="29"/>
    </row>
    <row r="737" ht="21.75" customHeight="1">
      <c r="A737" s="29"/>
      <c r="B737" s="29"/>
      <c r="C737" s="29"/>
      <c r="D737" s="29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29"/>
      <c r="AA737" s="29"/>
      <c r="AB737" s="29"/>
      <c r="AC737" s="29"/>
      <c r="AD737" s="29"/>
      <c r="AE737" s="29"/>
      <c r="AF737" s="29"/>
    </row>
    <row r="738" ht="21.75" customHeight="1">
      <c r="A738" s="29"/>
      <c r="B738" s="29"/>
      <c r="C738" s="29"/>
      <c r="D738" s="29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29"/>
      <c r="AA738" s="29"/>
      <c r="AB738" s="29"/>
      <c r="AC738" s="29"/>
      <c r="AD738" s="29"/>
      <c r="AE738" s="29"/>
      <c r="AF738" s="29"/>
    </row>
    <row r="739" ht="21.75" customHeight="1">
      <c r="A739" s="29"/>
      <c r="B739" s="29"/>
      <c r="C739" s="29"/>
      <c r="D739" s="29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29"/>
      <c r="AA739" s="29"/>
      <c r="AB739" s="29"/>
      <c r="AC739" s="29"/>
      <c r="AD739" s="29"/>
      <c r="AE739" s="29"/>
      <c r="AF739" s="29"/>
    </row>
    <row r="740" ht="21.75" customHeight="1">
      <c r="A740" s="29"/>
      <c r="B740" s="29"/>
      <c r="C740" s="29"/>
      <c r="D740" s="29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29"/>
      <c r="AA740" s="29"/>
      <c r="AB740" s="29"/>
      <c r="AC740" s="29"/>
      <c r="AD740" s="29"/>
      <c r="AE740" s="29"/>
      <c r="AF740" s="29"/>
    </row>
    <row r="741" ht="21.75" customHeight="1">
      <c r="A741" s="29"/>
      <c r="B741" s="29"/>
      <c r="C741" s="29"/>
      <c r="D741" s="29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29"/>
      <c r="AA741" s="29"/>
      <c r="AB741" s="29"/>
      <c r="AC741" s="29"/>
      <c r="AD741" s="29"/>
      <c r="AE741" s="29"/>
      <c r="AF741" s="29"/>
    </row>
    <row r="742" ht="21.75" customHeight="1">
      <c r="A742" s="29"/>
      <c r="B742" s="29"/>
      <c r="C742" s="29"/>
      <c r="D742" s="29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29"/>
      <c r="AA742" s="29"/>
      <c r="AB742" s="29"/>
      <c r="AC742" s="29"/>
      <c r="AD742" s="29"/>
      <c r="AE742" s="29"/>
      <c r="AF742" s="29"/>
    </row>
    <row r="743" ht="21.75" customHeight="1">
      <c r="A743" s="29"/>
      <c r="B743" s="29"/>
      <c r="C743" s="29"/>
      <c r="D743" s="29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29"/>
      <c r="AA743" s="29"/>
      <c r="AB743" s="29"/>
      <c r="AC743" s="29"/>
      <c r="AD743" s="29"/>
      <c r="AE743" s="29"/>
      <c r="AF743" s="29"/>
    </row>
    <row r="744" ht="21.75" customHeight="1">
      <c r="A744" s="29"/>
      <c r="B744" s="29"/>
      <c r="C744" s="29"/>
      <c r="D744" s="29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29"/>
      <c r="AA744" s="29"/>
      <c r="AB744" s="29"/>
      <c r="AC744" s="29"/>
      <c r="AD744" s="29"/>
      <c r="AE744" s="29"/>
      <c r="AF744" s="29"/>
    </row>
    <row r="745" ht="21.75" customHeight="1">
      <c r="A745" s="29"/>
      <c r="B745" s="29"/>
      <c r="C745" s="29"/>
      <c r="D745" s="29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29"/>
      <c r="AA745" s="29"/>
      <c r="AB745" s="29"/>
      <c r="AC745" s="29"/>
      <c r="AD745" s="29"/>
      <c r="AE745" s="29"/>
      <c r="AF745" s="29"/>
    </row>
    <row r="746" ht="21.75" customHeight="1">
      <c r="A746" s="29"/>
      <c r="B746" s="29"/>
      <c r="C746" s="29"/>
      <c r="D746" s="29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29"/>
      <c r="AA746" s="29"/>
      <c r="AB746" s="29"/>
      <c r="AC746" s="29"/>
      <c r="AD746" s="29"/>
      <c r="AE746" s="29"/>
      <c r="AF746" s="29"/>
    </row>
    <row r="747" ht="21.75" customHeight="1">
      <c r="A747" s="29"/>
      <c r="B747" s="29"/>
      <c r="C747" s="29"/>
      <c r="D747" s="29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29"/>
      <c r="AA747" s="29"/>
      <c r="AB747" s="29"/>
      <c r="AC747" s="29"/>
      <c r="AD747" s="29"/>
      <c r="AE747" s="29"/>
      <c r="AF747" s="29"/>
    </row>
    <row r="748" ht="21.75" customHeight="1">
      <c r="A748" s="29"/>
      <c r="B748" s="29"/>
      <c r="C748" s="29"/>
      <c r="D748" s="29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29"/>
      <c r="AA748" s="29"/>
      <c r="AB748" s="29"/>
      <c r="AC748" s="29"/>
      <c r="AD748" s="29"/>
      <c r="AE748" s="29"/>
      <c r="AF748" s="29"/>
    </row>
    <row r="749" ht="21.75" customHeight="1">
      <c r="A749" s="29"/>
      <c r="B749" s="29"/>
      <c r="C749" s="29"/>
      <c r="D749" s="29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29"/>
      <c r="AA749" s="29"/>
      <c r="AB749" s="29"/>
      <c r="AC749" s="29"/>
      <c r="AD749" s="29"/>
      <c r="AE749" s="29"/>
      <c r="AF749" s="29"/>
    </row>
    <row r="750" ht="21.75" customHeight="1">
      <c r="A750" s="29"/>
      <c r="B750" s="29"/>
      <c r="C750" s="29"/>
      <c r="D750" s="29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29"/>
      <c r="AA750" s="29"/>
      <c r="AB750" s="29"/>
      <c r="AC750" s="29"/>
      <c r="AD750" s="29"/>
      <c r="AE750" s="29"/>
      <c r="AF750" s="29"/>
    </row>
    <row r="751" ht="21.75" customHeight="1">
      <c r="A751" s="29"/>
      <c r="B751" s="29"/>
      <c r="C751" s="29"/>
      <c r="D751" s="29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29"/>
      <c r="AA751" s="29"/>
      <c r="AB751" s="29"/>
      <c r="AC751" s="29"/>
      <c r="AD751" s="29"/>
      <c r="AE751" s="29"/>
      <c r="AF751" s="29"/>
    </row>
    <row r="752" ht="21.75" customHeight="1">
      <c r="A752" s="29"/>
      <c r="B752" s="29"/>
      <c r="C752" s="29"/>
      <c r="D752" s="29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29"/>
      <c r="AA752" s="29"/>
      <c r="AB752" s="29"/>
      <c r="AC752" s="29"/>
      <c r="AD752" s="29"/>
      <c r="AE752" s="29"/>
      <c r="AF752" s="29"/>
    </row>
    <row r="753" ht="21.75" customHeight="1">
      <c r="A753" s="29"/>
      <c r="B753" s="29"/>
      <c r="C753" s="29"/>
      <c r="D753" s="29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29"/>
      <c r="AA753" s="29"/>
      <c r="AB753" s="29"/>
      <c r="AC753" s="29"/>
      <c r="AD753" s="29"/>
      <c r="AE753" s="29"/>
      <c r="AF753" s="29"/>
    </row>
    <row r="754" ht="21.75" customHeight="1">
      <c r="A754" s="29"/>
      <c r="B754" s="29"/>
      <c r="C754" s="29"/>
      <c r="D754" s="29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29"/>
      <c r="AA754" s="29"/>
      <c r="AB754" s="29"/>
      <c r="AC754" s="29"/>
      <c r="AD754" s="29"/>
      <c r="AE754" s="29"/>
      <c r="AF754" s="29"/>
    </row>
    <row r="755" ht="21.75" customHeight="1">
      <c r="A755" s="29"/>
      <c r="B755" s="29"/>
      <c r="C755" s="29"/>
      <c r="D755" s="29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29"/>
      <c r="AA755" s="29"/>
      <c r="AB755" s="29"/>
      <c r="AC755" s="29"/>
      <c r="AD755" s="29"/>
      <c r="AE755" s="29"/>
      <c r="AF755" s="29"/>
    </row>
    <row r="756" ht="21.75" customHeight="1">
      <c r="A756" s="29"/>
      <c r="B756" s="29"/>
      <c r="C756" s="29"/>
      <c r="D756" s="29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29"/>
      <c r="AA756" s="29"/>
      <c r="AB756" s="29"/>
      <c r="AC756" s="29"/>
      <c r="AD756" s="29"/>
      <c r="AE756" s="29"/>
      <c r="AF756" s="29"/>
    </row>
    <row r="757" ht="21.75" customHeight="1">
      <c r="A757" s="29"/>
      <c r="B757" s="29"/>
      <c r="C757" s="29"/>
      <c r="D757" s="29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29"/>
      <c r="AA757" s="29"/>
      <c r="AB757" s="29"/>
      <c r="AC757" s="29"/>
      <c r="AD757" s="29"/>
      <c r="AE757" s="29"/>
      <c r="AF757" s="29"/>
    </row>
    <row r="758" ht="21.75" customHeight="1">
      <c r="A758" s="29"/>
      <c r="B758" s="29"/>
      <c r="C758" s="29"/>
      <c r="D758" s="29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29"/>
      <c r="AA758" s="29"/>
      <c r="AB758" s="29"/>
      <c r="AC758" s="29"/>
      <c r="AD758" s="29"/>
      <c r="AE758" s="29"/>
      <c r="AF758" s="29"/>
    </row>
    <row r="759" ht="21.75" customHeight="1">
      <c r="A759" s="29"/>
      <c r="B759" s="29"/>
      <c r="C759" s="29"/>
      <c r="D759" s="29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29"/>
      <c r="AA759" s="29"/>
      <c r="AB759" s="29"/>
      <c r="AC759" s="29"/>
      <c r="AD759" s="29"/>
      <c r="AE759" s="29"/>
      <c r="AF759" s="29"/>
    </row>
    <row r="760" ht="21.75" customHeight="1">
      <c r="A760" s="29"/>
      <c r="B760" s="29"/>
      <c r="C760" s="29"/>
      <c r="D760" s="29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29"/>
      <c r="AA760" s="29"/>
      <c r="AB760" s="29"/>
      <c r="AC760" s="29"/>
      <c r="AD760" s="29"/>
      <c r="AE760" s="29"/>
      <c r="AF760" s="29"/>
    </row>
    <row r="761" ht="21.75" customHeight="1">
      <c r="A761" s="29"/>
      <c r="B761" s="29"/>
      <c r="C761" s="29"/>
      <c r="D761" s="29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29"/>
      <c r="AA761" s="29"/>
      <c r="AB761" s="29"/>
      <c r="AC761" s="29"/>
      <c r="AD761" s="29"/>
      <c r="AE761" s="29"/>
      <c r="AF761" s="29"/>
    </row>
    <row r="762" ht="21.75" customHeight="1">
      <c r="A762" s="29"/>
      <c r="B762" s="29"/>
      <c r="C762" s="29"/>
      <c r="D762" s="29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29"/>
      <c r="AA762" s="29"/>
      <c r="AB762" s="29"/>
      <c r="AC762" s="29"/>
      <c r="AD762" s="29"/>
      <c r="AE762" s="29"/>
      <c r="AF762" s="29"/>
    </row>
    <row r="763" ht="21.75" customHeight="1">
      <c r="A763" s="29"/>
      <c r="B763" s="29"/>
      <c r="C763" s="29"/>
      <c r="D763" s="29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29"/>
      <c r="AA763" s="29"/>
      <c r="AB763" s="29"/>
      <c r="AC763" s="29"/>
      <c r="AD763" s="29"/>
      <c r="AE763" s="29"/>
      <c r="AF763" s="29"/>
    </row>
    <row r="764" ht="21.75" customHeight="1">
      <c r="A764" s="29"/>
      <c r="B764" s="29"/>
      <c r="C764" s="29"/>
      <c r="D764" s="29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29"/>
      <c r="AA764" s="29"/>
      <c r="AB764" s="29"/>
      <c r="AC764" s="29"/>
      <c r="AD764" s="29"/>
      <c r="AE764" s="29"/>
      <c r="AF764" s="29"/>
    </row>
    <row r="765" ht="21.75" customHeight="1">
      <c r="A765" s="29"/>
      <c r="B765" s="29"/>
      <c r="C765" s="29"/>
      <c r="D765" s="29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29"/>
      <c r="AA765" s="29"/>
      <c r="AB765" s="29"/>
      <c r="AC765" s="29"/>
      <c r="AD765" s="29"/>
      <c r="AE765" s="29"/>
      <c r="AF765" s="29"/>
    </row>
    <row r="766" ht="21.75" customHeight="1">
      <c r="A766" s="29"/>
      <c r="B766" s="29"/>
      <c r="C766" s="29"/>
      <c r="D766" s="29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29"/>
      <c r="AA766" s="29"/>
      <c r="AB766" s="29"/>
      <c r="AC766" s="29"/>
      <c r="AD766" s="29"/>
      <c r="AE766" s="29"/>
      <c r="AF766" s="29"/>
    </row>
    <row r="767" ht="21.75" customHeight="1">
      <c r="A767" s="29"/>
      <c r="B767" s="29"/>
      <c r="C767" s="29"/>
      <c r="D767" s="29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29"/>
      <c r="AA767" s="29"/>
      <c r="AB767" s="29"/>
      <c r="AC767" s="29"/>
      <c r="AD767" s="29"/>
      <c r="AE767" s="29"/>
      <c r="AF767" s="29"/>
    </row>
    <row r="768" ht="21.75" customHeight="1">
      <c r="A768" s="29"/>
      <c r="B768" s="29"/>
      <c r="C768" s="29"/>
      <c r="D768" s="29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29"/>
      <c r="AA768" s="29"/>
      <c r="AB768" s="29"/>
      <c r="AC768" s="29"/>
      <c r="AD768" s="29"/>
      <c r="AE768" s="29"/>
      <c r="AF768" s="29"/>
    </row>
    <row r="769" ht="21.75" customHeight="1">
      <c r="A769" s="29"/>
      <c r="B769" s="29"/>
      <c r="C769" s="29"/>
      <c r="D769" s="29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29"/>
      <c r="AA769" s="29"/>
      <c r="AB769" s="29"/>
      <c r="AC769" s="29"/>
      <c r="AD769" s="29"/>
      <c r="AE769" s="29"/>
      <c r="AF769" s="29"/>
    </row>
    <row r="770" ht="21.75" customHeight="1">
      <c r="A770" s="29"/>
      <c r="B770" s="29"/>
      <c r="C770" s="29"/>
      <c r="D770" s="29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29"/>
      <c r="AA770" s="29"/>
      <c r="AB770" s="29"/>
      <c r="AC770" s="29"/>
      <c r="AD770" s="29"/>
      <c r="AE770" s="29"/>
      <c r="AF770" s="29"/>
    </row>
    <row r="771" ht="21.75" customHeight="1">
      <c r="A771" s="29"/>
      <c r="B771" s="29"/>
      <c r="C771" s="29"/>
      <c r="D771" s="29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29"/>
      <c r="AA771" s="29"/>
      <c r="AB771" s="29"/>
      <c r="AC771" s="29"/>
      <c r="AD771" s="29"/>
      <c r="AE771" s="29"/>
      <c r="AF771" s="29"/>
    </row>
    <row r="772" ht="21.75" customHeight="1">
      <c r="A772" s="29"/>
      <c r="B772" s="29"/>
      <c r="C772" s="29"/>
      <c r="D772" s="29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29"/>
      <c r="AA772" s="29"/>
      <c r="AB772" s="29"/>
      <c r="AC772" s="29"/>
      <c r="AD772" s="29"/>
      <c r="AE772" s="29"/>
      <c r="AF772" s="29"/>
    </row>
    <row r="773" ht="21.75" customHeight="1">
      <c r="A773" s="29"/>
      <c r="B773" s="29"/>
      <c r="C773" s="29"/>
      <c r="D773" s="29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29"/>
      <c r="AA773" s="29"/>
      <c r="AB773" s="29"/>
      <c r="AC773" s="29"/>
      <c r="AD773" s="29"/>
      <c r="AE773" s="29"/>
      <c r="AF773" s="29"/>
    </row>
    <row r="774" ht="21.75" customHeight="1">
      <c r="A774" s="29"/>
      <c r="B774" s="29"/>
      <c r="C774" s="29"/>
      <c r="D774" s="29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29"/>
      <c r="AA774" s="29"/>
      <c r="AB774" s="29"/>
      <c r="AC774" s="29"/>
      <c r="AD774" s="29"/>
      <c r="AE774" s="29"/>
      <c r="AF774" s="29"/>
    </row>
    <row r="775" ht="21.75" customHeight="1">
      <c r="A775" s="29"/>
      <c r="B775" s="29"/>
      <c r="C775" s="29"/>
      <c r="D775" s="29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29"/>
      <c r="AA775" s="29"/>
      <c r="AB775" s="29"/>
      <c r="AC775" s="29"/>
      <c r="AD775" s="29"/>
      <c r="AE775" s="29"/>
      <c r="AF775" s="29"/>
    </row>
    <row r="776" ht="21.75" customHeight="1">
      <c r="A776" s="29"/>
      <c r="B776" s="29"/>
      <c r="C776" s="29"/>
      <c r="D776" s="29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29"/>
      <c r="AA776" s="29"/>
      <c r="AB776" s="29"/>
      <c r="AC776" s="29"/>
      <c r="AD776" s="29"/>
      <c r="AE776" s="29"/>
      <c r="AF776" s="29"/>
    </row>
    <row r="777" ht="21.75" customHeight="1">
      <c r="A777" s="29"/>
      <c r="B777" s="29"/>
      <c r="C777" s="29"/>
      <c r="D777" s="29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29"/>
      <c r="AA777" s="29"/>
      <c r="AB777" s="29"/>
      <c r="AC777" s="29"/>
      <c r="AD777" s="29"/>
      <c r="AE777" s="29"/>
      <c r="AF777" s="29"/>
    </row>
    <row r="778" ht="21.75" customHeight="1">
      <c r="A778" s="29"/>
      <c r="B778" s="29"/>
      <c r="C778" s="29"/>
      <c r="D778" s="29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29"/>
      <c r="AA778" s="29"/>
      <c r="AB778" s="29"/>
      <c r="AC778" s="29"/>
      <c r="AD778" s="29"/>
      <c r="AE778" s="29"/>
      <c r="AF778" s="29"/>
    </row>
    <row r="779" ht="21.75" customHeight="1">
      <c r="A779" s="29"/>
      <c r="B779" s="29"/>
      <c r="C779" s="29"/>
      <c r="D779" s="29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29"/>
      <c r="AA779" s="29"/>
      <c r="AB779" s="29"/>
      <c r="AC779" s="29"/>
      <c r="AD779" s="29"/>
      <c r="AE779" s="29"/>
      <c r="AF779" s="29"/>
    </row>
    <row r="780" ht="21.75" customHeight="1">
      <c r="A780" s="29"/>
      <c r="B780" s="29"/>
      <c r="C780" s="29"/>
      <c r="D780" s="29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29"/>
      <c r="AA780" s="29"/>
      <c r="AB780" s="29"/>
      <c r="AC780" s="29"/>
      <c r="AD780" s="29"/>
      <c r="AE780" s="29"/>
      <c r="AF780" s="29"/>
    </row>
    <row r="781" ht="21.75" customHeight="1">
      <c r="A781" s="29"/>
      <c r="B781" s="29"/>
      <c r="C781" s="29"/>
      <c r="D781" s="29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29"/>
      <c r="AA781" s="29"/>
      <c r="AB781" s="29"/>
      <c r="AC781" s="29"/>
      <c r="AD781" s="29"/>
      <c r="AE781" s="29"/>
      <c r="AF781" s="29"/>
    </row>
    <row r="782" ht="21.75" customHeight="1">
      <c r="A782" s="29"/>
      <c r="B782" s="29"/>
      <c r="C782" s="29"/>
      <c r="D782" s="29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29"/>
      <c r="AA782" s="29"/>
      <c r="AB782" s="29"/>
      <c r="AC782" s="29"/>
      <c r="AD782" s="29"/>
      <c r="AE782" s="29"/>
      <c r="AF782" s="29"/>
    </row>
    <row r="783" ht="21.75" customHeight="1">
      <c r="A783" s="29"/>
      <c r="B783" s="29"/>
      <c r="C783" s="29"/>
      <c r="D783" s="29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29"/>
      <c r="AA783" s="29"/>
      <c r="AB783" s="29"/>
      <c r="AC783" s="29"/>
      <c r="AD783" s="29"/>
      <c r="AE783" s="29"/>
      <c r="AF783" s="29"/>
    </row>
    <row r="784" ht="21.75" customHeight="1">
      <c r="A784" s="29"/>
      <c r="B784" s="29"/>
      <c r="C784" s="29"/>
      <c r="D784" s="29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29"/>
      <c r="AA784" s="29"/>
      <c r="AB784" s="29"/>
      <c r="AC784" s="29"/>
      <c r="AD784" s="29"/>
      <c r="AE784" s="29"/>
      <c r="AF784" s="29"/>
    </row>
    <row r="785" ht="21.75" customHeight="1">
      <c r="A785" s="29"/>
      <c r="B785" s="29"/>
      <c r="C785" s="29"/>
      <c r="D785" s="29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29"/>
      <c r="AA785" s="29"/>
      <c r="AB785" s="29"/>
      <c r="AC785" s="29"/>
      <c r="AD785" s="29"/>
      <c r="AE785" s="29"/>
      <c r="AF785" s="29"/>
    </row>
    <row r="786" ht="21.75" customHeight="1">
      <c r="A786" s="29"/>
      <c r="B786" s="29"/>
      <c r="C786" s="29"/>
      <c r="D786" s="29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29"/>
      <c r="AA786" s="29"/>
      <c r="AB786" s="29"/>
      <c r="AC786" s="29"/>
      <c r="AD786" s="29"/>
      <c r="AE786" s="29"/>
      <c r="AF786" s="29"/>
    </row>
    <row r="787" ht="21.75" customHeight="1">
      <c r="A787" s="29"/>
      <c r="B787" s="29"/>
      <c r="C787" s="29"/>
      <c r="D787" s="29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29"/>
      <c r="AA787" s="29"/>
      <c r="AB787" s="29"/>
      <c r="AC787" s="29"/>
      <c r="AD787" s="29"/>
      <c r="AE787" s="29"/>
      <c r="AF787" s="29"/>
    </row>
    <row r="788" ht="21.75" customHeight="1">
      <c r="A788" s="29"/>
      <c r="B788" s="29"/>
      <c r="C788" s="29"/>
      <c r="D788" s="29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29"/>
      <c r="AA788" s="29"/>
      <c r="AB788" s="29"/>
      <c r="AC788" s="29"/>
      <c r="AD788" s="29"/>
      <c r="AE788" s="29"/>
      <c r="AF788" s="29"/>
    </row>
    <row r="789" ht="21.75" customHeight="1">
      <c r="A789" s="29"/>
      <c r="B789" s="29"/>
      <c r="C789" s="29"/>
      <c r="D789" s="29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29"/>
      <c r="AA789" s="29"/>
      <c r="AB789" s="29"/>
      <c r="AC789" s="29"/>
      <c r="AD789" s="29"/>
      <c r="AE789" s="29"/>
      <c r="AF789" s="29"/>
    </row>
    <row r="790" ht="21.75" customHeight="1">
      <c r="A790" s="29"/>
      <c r="B790" s="29"/>
      <c r="C790" s="29"/>
      <c r="D790" s="29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29"/>
      <c r="AA790" s="29"/>
      <c r="AB790" s="29"/>
      <c r="AC790" s="29"/>
      <c r="AD790" s="29"/>
      <c r="AE790" s="29"/>
      <c r="AF790" s="29"/>
    </row>
    <row r="791" ht="21.75" customHeight="1">
      <c r="A791" s="29"/>
      <c r="B791" s="29"/>
      <c r="C791" s="29"/>
      <c r="D791" s="29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29"/>
      <c r="AA791" s="29"/>
      <c r="AB791" s="29"/>
      <c r="AC791" s="29"/>
      <c r="AD791" s="29"/>
      <c r="AE791" s="29"/>
      <c r="AF791" s="29"/>
    </row>
    <row r="792" ht="21.75" customHeight="1">
      <c r="A792" s="29"/>
      <c r="B792" s="29"/>
      <c r="C792" s="29"/>
      <c r="D792" s="29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29"/>
      <c r="AA792" s="29"/>
      <c r="AB792" s="29"/>
      <c r="AC792" s="29"/>
      <c r="AD792" s="29"/>
      <c r="AE792" s="29"/>
      <c r="AF792" s="29"/>
    </row>
    <row r="793" ht="21.75" customHeight="1">
      <c r="A793" s="29"/>
      <c r="B793" s="29"/>
      <c r="C793" s="29"/>
      <c r="D793" s="29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29"/>
      <c r="AA793" s="29"/>
      <c r="AB793" s="29"/>
      <c r="AC793" s="29"/>
      <c r="AD793" s="29"/>
      <c r="AE793" s="29"/>
      <c r="AF793" s="29"/>
    </row>
    <row r="794" ht="21.75" customHeight="1">
      <c r="A794" s="29"/>
      <c r="B794" s="29"/>
      <c r="C794" s="29"/>
      <c r="D794" s="29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29"/>
      <c r="AA794" s="29"/>
      <c r="AB794" s="29"/>
      <c r="AC794" s="29"/>
      <c r="AD794" s="29"/>
      <c r="AE794" s="29"/>
      <c r="AF794" s="29"/>
    </row>
    <row r="795" ht="21.75" customHeight="1">
      <c r="A795" s="29"/>
      <c r="B795" s="29"/>
      <c r="C795" s="29"/>
      <c r="D795" s="29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29"/>
      <c r="AA795" s="29"/>
      <c r="AB795" s="29"/>
      <c r="AC795" s="29"/>
      <c r="AD795" s="29"/>
      <c r="AE795" s="29"/>
      <c r="AF795" s="29"/>
    </row>
    <row r="796" ht="21.75" customHeight="1">
      <c r="A796" s="29"/>
      <c r="B796" s="29"/>
      <c r="C796" s="29"/>
      <c r="D796" s="29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29"/>
      <c r="AA796" s="29"/>
      <c r="AB796" s="29"/>
      <c r="AC796" s="29"/>
      <c r="AD796" s="29"/>
      <c r="AE796" s="29"/>
      <c r="AF796" s="29"/>
    </row>
    <row r="797" ht="21.75" customHeight="1">
      <c r="A797" s="29"/>
      <c r="B797" s="29"/>
      <c r="C797" s="29"/>
      <c r="D797" s="29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29"/>
      <c r="AA797" s="29"/>
      <c r="AB797" s="29"/>
      <c r="AC797" s="29"/>
      <c r="AD797" s="29"/>
      <c r="AE797" s="29"/>
      <c r="AF797" s="29"/>
    </row>
    <row r="798" ht="21.75" customHeight="1">
      <c r="A798" s="29"/>
      <c r="B798" s="29"/>
      <c r="C798" s="29"/>
      <c r="D798" s="29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29"/>
      <c r="AA798" s="29"/>
      <c r="AB798" s="29"/>
      <c r="AC798" s="29"/>
      <c r="AD798" s="29"/>
      <c r="AE798" s="29"/>
      <c r="AF798" s="29"/>
    </row>
    <row r="799" ht="21.75" customHeight="1">
      <c r="A799" s="29"/>
      <c r="B799" s="29"/>
      <c r="C799" s="29"/>
      <c r="D799" s="29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29"/>
      <c r="AA799" s="29"/>
      <c r="AB799" s="29"/>
      <c r="AC799" s="29"/>
      <c r="AD799" s="29"/>
      <c r="AE799" s="29"/>
      <c r="AF799" s="29"/>
    </row>
    <row r="800" ht="21.75" customHeight="1">
      <c r="A800" s="29"/>
      <c r="B800" s="29"/>
      <c r="C800" s="29"/>
      <c r="D800" s="29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29"/>
      <c r="AA800" s="29"/>
      <c r="AB800" s="29"/>
      <c r="AC800" s="29"/>
      <c r="AD800" s="29"/>
      <c r="AE800" s="29"/>
      <c r="AF800" s="29"/>
    </row>
    <row r="801" ht="21.75" customHeight="1">
      <c r="A801" s="29"/>
      <c r="B801" s="29"/>
      <c r="C801" s="29"/>
      <c r="D801" s="29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29"/>
      <c r="AA801" s="29"/>
      <c r="AB801" s="29"/>
      <c r="AC801" s="29"/>
      <c r="AD801" s="29"/>
      <c r="AE801" s="29"/>
      <c r="AF801" s="29"/>
    </row>
    <row r="802" ht="21.75" customHeight="1">
      <c r="A802" s="29"/>
      <c r="B802" s="29"/>
      <c r="C802" s="29"/>
      <c r="D802" s="29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29"/>
      <c r="AA802" s="29"/>
      <c r="AB802" s="29"/>
      <c r="AC802" s="29"/>
      <c r="AD802" s="29"/>
      <c r="AE802" s="29"/>
      <c r="AF802" s="29"/>
    </row>
    <row r="803" ht="21.75" customHeight="1">
      <c r="A803" s="29"/>
      <c r="B803" s="29"/>
      <c r="C803" s="29"/>
      <c r="D803" s="29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29"/>
      <c r="AA803" s="29"/>
      <c r="AB803" s="29"/>
      <c r="AC803" s="29"/>
      <c r="AD803" s="29"/>
      <c r="AE803" s="29"/>
      <c r="AF803" s="29"/>
    </row>
    <row r="804" ht="21.75" customHeight="1">
      <c r="A804" s="29"/>
      <c r="B804" s="29"/>
      <c r="C804" s="29"/>
      <c r="D804" s="29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29"/>
      <c r="AA804" s="29"/>
      <c r="AB804" s="29"/>
      <c r="AC804" s="29"/>
      <c r="AD804" s="29"/>
      <c r="AE804" s="29"/>
      <c r="AF804" s="29"/>
    </row>
    <row r="805" ht="21.75" customHeight="1">
      <c r="A805" s="29"/>
      <c r="B805" s="29"/>
      <c r="C805" s="29"/>
      <c r="D805" s="29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29"/>
      <c r="AA805" s="29"/>
      <c r="AB805" s="29"/>
      <c r="AC805" s="29"/>
      <c r="AD805" s="29"/>
      <c r="AE805" s="29"/>
      <c r="AF805" s="29"/>
    </row>
    <row r="806" ht="21.75" customHeight="1">
      <c r="A806" s="29"/>
      <c r="B806" s="29"/>
      <c r="C806" s="29"/>
      <c r="D806" s="29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29"/>
      <c r="AA806" s="29"/>
      <c r="AB806" s="29"/>
      <c r="AC806" s="29"/>
      <c r="AD806" s="29"/>
      <c r="AE806" s="29"/>
      <c r="AF806" s="29"/>
    </row>
    <row r="807" ht="21.75" customHeight="1">
      <c r="A807" s="29"/>
      <c r="B807" s="29"/>
      <c r="C807" s="29"/>
      <c r="D807" s="29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29"/>
      <c r="AA807" s="29"/>
      <c r="AB807" s="29"/>
      <c r="AC807" s="29"/>
      <c r="AD807" s="29"/>
      <c r="AE807" s="29"/>
      <c r="AF807" s="29"/>
    </row>
    <row r="808" ht="21.75" customHeight="1">
      <c r="A808" s="29"/>
      <c r="B808" s="29"/>
      <c r="C808" s="29"/>
      <c r="D808" s="29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29"/>
      <c r="AA808" s="29"/>
      <c r="AB808" s="29"/>
      <c r="AC808" s="29"/>
      <c r="AD808" s="29"/>
      <c r="AE808" s="29"/>
      <c r="AF808" s="29"/>
    </row>
    <row r="809" ht="21.75" customHeight="1">
      <c r="A809" s="29"/>
      <c r="B809" s="29"/>
      <c r="C809" s="29"/>
      <c r="D809" s="29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29"/>
      <c r="AA809" s="29"/>
      <c r="AB809" s="29"/>
      <c r="AC809" s="29"/>
      <c r="AD809" s="29"/>
      <c r="AE809" s="29"/>
      <c r="AF809" s="29"/>
    </row>
    <row r="810" ht="21.75" customHeight="1">
      <c r="A810" s="29"/>
      <c r="B810" s="29"/>
      <c r="C810" s="29"/>
      <c r="D810" s="29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29"/>
      <c r="AA810" s="29"/>
      <c r="AB810" s="29"/>
      <c r="AC810" s="29"/>
      <c r="AD810" s="29"/>
      <c r="AE810" s="29"/>
      <c r="AF810" s="29"/>
    </row>
    <row r="811" ht="21.75" customHeight="1">
      <c r="A811" s="29"/>
      <c r="B811" s="29"/>
      <c r="C811" s="29"/>
      <c r="D811" s="29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29"/>
      <c r="AA811" s="29"/>
      <c r="AB811" s="29"/>
      <c r="AC811" s="29"/>
      <c r="AD811" s="29"/>
      <c r="AE811" s="29"/>
      <c r="AF811" s="29"/>
    </row>
    <row r="812" ht="21.75" customHeight="1">
      <c r="A812" s="29"/>
      <c r="B812" s="29"/>
      <c r="C812" s="29"/>
      <c r="D812" s="29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29"/>
      <c r="AA812" s="29"/>
      <c r="AB812" s="29"/>
      <c r="AC812" s="29"/>
      <c r="AD812" s="29"/>
      <c r="AE812" s="29"/>
      <c r="AF812" s="29"/>
    </row>
    <row r="813" ht="21.75" customHeight="1">
      <c r="A813" s="29"/>
      <c r="B813" s="29"/>
      <c r="C813" s="29"/>
      <c r="D813" s="29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29"/>
      <c r="AA813" s="29"/>
      <c r="AB813" s="29"/>
      <c r="AC813" s="29"/>
      <c r="AD813" s="29"/>
      <c r="AE813" s="29"/>
      <c r="AF813" s="29"/>
    </row>
    <row r="814" ht="21.75" customHeight="1">
      <c r="A814" s="29"/>
      <c r="B814" s="29"/>
      <c r="C814" s="29"/>
      <c r="D814" s="29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29"/>
      <c r="AA814" s="29"/>
      <c r="AB814" s="29"/>
      <c r="AC814" s="29"/>
      <c r="AD814" s="29"/>
      <c r="AE814" s="29"/>
      <c r="AF814" s="29"/>
    </row>
    <row r="815" ht="21.75" customHeight="1">
      <c r="A815" s="29"/>
      <c r="B815" s="29"/>
      <c r="C815" s="29"/>
      <c r="D815" s="29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29"/>
      <c r="AA815" s="29"/>
      <c r="AB815" s="29"/>
      <c r="AC815" s="29"/>
      <c r="AD815" s="29"/>
      <c r="AE815" s="29"/>
      <c r="AF815" s="29"/>
    </row>
    <row r="816" ht="21.75" customHeight="1">
      <c r="A816" s="29"/>
      <c r="B816" s="29"/>
      <c r="C816" s="29"/>
      <c r="D816" s="29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29"/>
      <c r="AA816" s="29"/>
      <c r="AB816" s="29"/>
      <c r="AC816" s="29"/>
      <c r="AD816" s="29"/>
      <c r="AE816" s="29"/>
      <c r="AF816" s="29"/>
    </row>
    <row r="817" ht="21.75" customHeight="1">
      <c r="A817" s="29"/>
      <c r="B817" s="29"/>
      <c r="C817" s="29"/>
      <c r="D817" s="29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29"/>
      <c r="AA817" s="29"/>
      <c r="AB817" s="29"/>
      <c r="AC817" s="29"/>
      <c r="AD817" s="29"/>
      <c r="AE817" s="29"/>
      <c r="AF817" s="29"/>
    </row>
    <row r="818" ht="21.75" customHeight="1">
      <c r="A818" s="29"/>
      <c r="B818" s="29"/>
      <c r="C818" s="29"/>
      <c r="D818" s="29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29"/>
      <c r="AA818" s="29"/>
      <c r="AB818" s="29"/>
      <c r="AC818" s="29"/>
      <c r="AD818" s="29"/>
      <c r="AE818" s="29"/>
      <c r="AF818" s="29"/>
    </row>
    <row r="819" ht="21.75" customHeight="1">
      <c r="A819" s="29"/>
      <c r="B819" s="29"/>
      <c r="C819" s="29"/>
      <c r="D819" s="29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29"/>
      <c r="AA819" s="29"/>
      <c r="AB819" s="29"/>
      <c r="AC819" s="29"/>
      <c r="AD819" s="29"/>
      <c r="AE819" s="29"/>
      <c r="AF819" s="29"/>
    </row>
    <row r="820" ht="21.75" customHeight="1">
      <c r="A820" s="29"/>
      <c r="B820" s="29"/>
      <c r="C820" s="29"/>
      <c r="D820" s="29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29"/>
      <c r="AA820" s="29"/>
      <c r="AB820" s="29"/>
      <c r="AC820" s="29"/>
      <c r="AD820" s="29"/>
      <c r="AE820" s="29"/>
      <c r="AF820" s="29"/>
    </row>
    <row r="821" ht="21.75" customHeight="1">
      <c r="A821" s="29"/>
      <c r="B821" s="29"/>
      <c r="C821" s="29"/>
      <c r="D821" s="29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29"/>
      <c r="AA821" s="29"/>
      <c r="AB821" s="29"/>
      <c r="AC821" s="29"/>
      <c r="AD821" s="29"/>
      <c r="AE821" s="29"/>
      <c r="AF821" s="29"/>
    </row>
    <row r="822" ht="21.75" customHeight="1">
      <c r="A822" s="29"/>
      <c r="B822" s="29"/>
      <c r="C822" s="29"/>
      <c r="D822" s="29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29"/>
      <c r="AA822" s="29"/>
      <c r="AB822" s="29"/>
      <c r="AC822" s="29"/>
      <c r="AD822" s="29"/>
      <c r="AE822" s="29"/>
      <c r="AF822" s="29"/>
    </row>
    <row r="823" ht="21.75" customHeight="1">
      <c r="A823" s="29"/>
      <c r="B823" s="29"/>
      <c r="C823" s="29"/>
      <c r="D823" s="29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29"/>
      <c r="AA823" s="29"/>
      <c r="AB823" s="29"/>
      <c r="AC823" s="29"/>
      <c r="AD823" s="29"/>
      <c r="AE823" s="29"/>
      <c r="AF823" s="29"/>
    </row>
    <row r="824" ht="21.75" customHeight="1">
      <c r="A824" s="29"/>
      <c r="B824" s="29"/>
      <c r="C824" s="29"/>
      <c r="D824" s="29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29"/>
      <c r="AA824" s="29"/>
      <c r="AB824" s="29"/>
      <c r="AC824" s="29"/>
      <c r="AD824" s="29"/>
      <c r="AE824" s="29"/>
      <c r="AF824" s="29"/>
    </row>
    <row r="825" ht="21.75" customHeight="1">
      <c r="A825" s="29"/>
      <c r="B825" s="29"/>
      <c r="C825" s="29"/>
      <c r="D825" s="29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29"/>
      <c r="AA825" s="29"/>
      <c r="AB825" s="29"/>
      <c r="AC825" s="29"/>
      <c r="AD825" s="29"/>
      <c r="AE825" s="29"/>
      <c r="AF825" s="29"/>
    </row>
    <row r="826" ht="21.75" customHeight="1">
      <c r="A826" s="29"/>
      <c r="B826" s="29"/>
      <c r="C826" s="29"/>
      <c r="D826" s="29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29"/>
      <c r="AA826" s="29"/>
      <c r="AB826" s="29"/>
      <c r="AC826" s="29"/>
      <c r="AD826" s="29"/>
      <c r="AE826" s="29"/>
      <c r="AF826" s="29"/>
    </row>
    <row r="827" ht="21.75" customHeight="1">
      <c r="A827" s="29"/>
      <c r="B827" s="29"/>
      <c r="C827" s="29"/>
      <c r="D827" s="29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29"/>
      <c r="AA827" s="29"/>
      <c r="AB827" s="29"/>
      <c r="AC827" s="29"/>
      <c r="AD827" s="29"/>
      <c r="AE827" s="29"/>
      <c r="AF827" s="29"/>
    </row>
    <row r="828" ht="21.75" customHeight="1">
      <c r="A828" s="29"/>
      <c r="B828" s="29"/>
      <c r="C828" s="29"/>
      <c r="D828" s="29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29"/>
      <c r="AA828" s="29"/>
      <c r="AB828" s="29"/>
      <c r="AC828" s="29"/>
      <c r="AD828" s="29"/>
      <c r="AE828" s="29"/>
      <c r="AF828" s="29"/>
    </row>
    <row r="829" ht="21.75" customHeight="1">
      <c r="A829" s="29"/>
      <c r="B829" s="29"/>
      <c r="C829" s="29"/>
      <c r="D829" s="29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29"/>
      <c r="AA829" s="29"/>
      <c r="AB829" s="29"/>
      <c r="AC829" s="29"/>
      <c r="AD829" s="29"/>
      <c r="AE829" s="29"/>
      <c r="AF829" s="29"/>
    </row>
    <row r="830" ht="21.75" customHeight="1">
      <c r="A830" s="29"/>
      <c r="B830" s="29"/>
      <c r="C830" s="29"/>
      <c r="D830" s="29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29"/>
      <c r="AA830" s="29"/>
      <c r="AB830" s="29"/>
      <c r="AC830" s="29"/>
      <c r="AD830" s="29"/>
      <c r="AE830" s="29"/>
      <c r="AF830" s="29"/>
    </row>
    <row r="831" ht="21.75" customHeight="1">
      <c r="A831" s="29"/>
      <c r="B831" s="29"/>
      <c r="C831" s="29"/>
      <c r="D831" s="29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29"/>
      <c r="AA831" s="29"/>
      <c r="AB831" s="29"/>
      <c r="AC831" s="29"/>
      <c r="AD831" s="29"/>
      <c r="AE831" s="29"/>
      <c r="AF831" s="29"/>
    </row>
    <row r="832" ht="21.75" customHeight="1">
      <c r="A832" s="29"/>
      <c r="B832" s="29"/>
      <c r="C832" s="29"/>
      <c r="D832" s="29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29"/>
      <c r="AA832" s="29"/>
      <c r="AB832" s="29"/>
      <c r="AC832" s="29"/>
      <c r="AD832" s="29"/>
      <c r="AE832" s="29"/>
      <c r="AF832" s="29"/>
    </row>
    <row r="833" ht="21.75" customHeight="1">
      <c r="A833" s="29"/>
      <c r="B833" s="29"/>
      <c r="C833" s="29"/>
      <c r="D833" s="29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29"/>
      <c r="AA833" s="29"/>
      <c r="AB833" s="29"/>
      <c r="AC833" s="29"/>
      <c r="AD833" s="29"/>
      <c r="AE833" s="29"/>
      <c r="AF833" s="29"/>
    </row>
    <row r="834" ht="21.75" customHeight="1">
      <c r="A834" s="29"/>
      <c r="B834" s="29"/>
      <c r="C834" s="29"/>
      <c r="D834" s="29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29"/>
      <c r="AA834" s="29"/>
      <c r="AB834" s="29"/>
      <c r="AC834" s="29"/>
      <c r="AD834" s="29"/>
      <c r="AE834" s="29"/>
      <c r="AF834" s="29"/>
    </row>
    <row r="835" ht="21.75" customHeight="1">
      <c r="A835" s="29"/>
      <c r="B835" s="29"/>
      <c r="C835" s="29"/>
      <c r="D835" s="29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29"/>
      <c r="AA835" s="29"/>
      <c r="AB835" s="29"/>
      <c r="AC835" s="29"/>
      <c r="AD835" s="29"/>
      <c r="AE835" s="29"/>
      <c r="AF835" s="29"/>
    </row>
    <row r="836" ht="21.75" customHeight="1">
      <c r="A836" s="29"/>
      <c r="B836" s="29"/>
      <c r="C836" s="29"/>
      <c r="D836" s="29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29"/>
      <c r="AA836" s="29"/>
      <c r="AB836" s="29"/>
      <c r="AC836" s="29"/>
      <c r="AD836" s="29"/>
      <c r="AE836" s="29"/>
      <c r="AF836" s="29"/>
    </row>
    <row r="837" ht="21.75" customHeight="1">
      <c r="A837" s="29"/>
      <c r="B837" s="29"/>
      <c r="C837" s="29"/>
      <c r="D837" s="29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29"/>
      <c r="AA837" s="29"/>
      <c r="AB837" s="29"/>
      <c r="AC837" s="29"/>
      <c r="AD837" s="29"/>
      <c r="AE837" s="29"/>
      <c r="AF837" s="29"/>
    </row>
    <row r="838" ht="21.75" customHeight="1">
      <c r="A838" s="29"/>
      <c r="B838" s="29"/>
      <c r="C838" s="29"/>
      <c r="D838" s="29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29"/>
      <c r="AA838" s="29"/>
      <c r="AB838" s="29"/>
      <c r="AC838" s="29"/>
      <c r="AD838" s="29"/>
      <c r="AE838" s="29"/>
      <c r="AF838" s="29"/>
    </row>
    <row r="839" ht="21.75" customHeight="1">
      <c r="A839" s="29"/>
      <c r="B839" s="29"/>
      <c r="C839" s="29"/>
      <c r="D839" s="29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29"/>
      <c r="AA839" s="29"/>
      <c r="AB839" s="29"/>
      <c r="AC839" s="29"/>
      <c r="AD839" s="29"/>
      <c r="AE839" s="29"/>
      <c r="AF839" s="29"/>
    </row>
    <row r="840" ht="21.75" customHeight="1">
      <c r="A840" s="29"/>
      <c r="B840" s="29"/>
      <c r="C840" s="29"/>
      <c r="D840" s="29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29"/>
      <c r="AA840" s="29"/>
      <c r="AB840" s="29"/>
      <c r="AC840" s="29"/>
      <c r="AD840" s="29"/>
      <c r="AE840" s="29"/>
      <c r="AF840" s="29"/>
    </row>
    <row r="841" ht="21.75" customHeight="1">
      <c r="A841" s="29"/>
      <c r="B841" s="29"/>
      <c r="C841" s="29"/>
      <c r="D841" s="29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29"/>
      <c r="AA841" s="29"/>
      <c r="AB841" s="29"/>
      <c r="AC841" s="29"/>
      <c r="AD841" s="29"/>
      <c r="AE841" s="29"/>
      <c r="AF841" s="29"/>
    </row>
    <row r="842" ht="21.75" customHeight="1">
      <c r="A842" s="29"/>
      <c r="B842" s="29"/>
      <c r="C842" s="29"/>
      <c r="D842" s="29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29"/>
      <c r="AA842" s="29"/>
      <c r="AB842" s="29"/>
      <c r="AC842" s="29"/>
      <c r="AD842" s="29"/>
      <c r="AE842" s="29"/>
      <c r="AF842" s="29"/>
    </row>
    <row r="843" ht="21.75" customHeight="1">
      <c r="A843" s="29"/>
      <c r="B843" s="29"/>
      <c r="C843" s="29"/>
      <c r="D843" s="29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29"/>
      <c r="AA843" s="29"/>
      <c r="AB843" s="29"/>
      <c r="AC843" s="29"/>
      <c r="AD843" s="29"/>
      <c r="AE843" s="29"/>
      <c r="AF843" s="29"/>
    </row>
    <row r="844" ht="21.75" customHeight="1">
      <c r="A844" s="29"/>
      <c r="B844" s="29"/>
      <c r="C844" s="29"/>
      <c r="D844" s="29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29"/>
      <c r="AA844" s="29"/>
      <c r="AB844" s="29"/>
      <c r="AC844" s="29"/>
      <c r="AD844" s="29"/>
      <c r="AE844" s="29"/>
      <c r="AF844" s="29"/>
    </row>
    <row r="845" ht="21.75" customHeight="1">
      <c r="A845" s="29"/>
      <c r="B845" s="29"/>
      <c r="C845" s="29"/>
      <c r="D845" s="29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29"/>
      <c r="AA845" s="29"/>
      <c r="AB845" s="29"/>
      <c r="AC845" s="29"/>
      <c r="AD845" s="29"/>
      <c r="AE845" s="29"/>
      <c r="AF845" s="29"/>
    </row>
    <row r="846" ht="21.75" customHeight="1">
      <c r="A846" s="29"/>
      <c r="B846" s="29"/>
      <c r="C846" s="29"/>
      <c r="D846" s="29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29"/>
      <c r="AA846" s="29"/>
      <c r="AB846" s="29"/>
      <c r="AC846" s="29"/>
      <c r="AD846" s="29"/>
      <c r="AE846" s="29"/>
      <c r="AF846" s="29"/>
    </row>
    <row r="847" ht="21.75" customHeight="1">
      <c r="A847" s="29"/>
      <c r="B847" s="29"/>
      <c r="C847" s="29"/>
      <c r="D847" s="29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29"/>
      <c r="AA847" s="29"/>
      <c r="AB847" s="29"/>
      <c r="AC847" s="29"/>
      <c r="AD847" s="29"/>
      <c r="AE847" s="29"/>
      <c r="AF847" s="29"/>
    </row>
    <row r="848" ht="21.75" customHeight="1">
      <c r="A848" s="29"/>
      <c r="B848" s="29"/>
      <c r="C848" s="29"/>
      <c r="D848" s="29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29"/>
      <c r="AA848" s="29"/>
      <c r="AB848" s="29"/>
      <c r="AC848" s="29"/>
      <c r="AD848" s="29"/>
      <c r="AE848" s="29"/>
      <c r="AF848" s="29"/>
    </row>
    <row r="849" ht="21.75" customHeight="1">
      <c r="A849" s="29"/>
      <c r="B849" s="29"/>
      <c r="C849" s="29"/>
      <c r="D849" s="29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29"/>
      <c r="AA849" s="29"/>
      <c r="AB849" s="29"/>
      <c r="AC849" s="29"/>
      <c r="AD849" s="29"/>
      <c r="AE849" s="29"/>
      <c r="AF849" s="29"/>
    </row>
    <row r="850" ht="21.75" customHeight="1">
      <c r="A850" s="29"/>
      <c r="B850" s="29"/>
      <c r="C850" s="29"/>
      <c r="D850" s="29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29"/>
      <c r="AA850" s="29"/>
      <c r="AB850" s="29"/>
      <c r="AC850" s="29"/>
      <c r="AD850" s="29"/>
      <c r="AE850" s="29"/>
      <c r="AF850" s="29"/>
    </row>
    <row r="851" ht="21.75" customHeight="1">
      <c r="A851" s="29"/>
      <c r="B851" s="29"/>
      <c r="C851" s="29"/>
      <c r="D851" s="29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29"/>
      <c r="AA851" s="29"/>
      <c r="AB851" s="29"/>
      <c r="AC851" s="29"/>
      <c r="AD851" s="29"/>
      <c r="AE851" s="29"/>
      <c r="AF851" s="29"/>
    </row>
    <row r="852" ht="21.75" customHeight="1">
      <c r="A852" s="29"/>
      <c r="B852" s="29"/>
      <c r="C852" s="29"/>
      <c r="D852" s="29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29"/>
      <c r="AA852" s="29"/>
      <c r="AB852" s="29"/>
      <c r="AC852" s="29"/>
      <c r="AD852" s="29"/>
      <c r="AE852" s="29"/>
      <c r="AF852" s="29"/>
    </row>
    <row r="853" ht="21.75" customHeight="1">
      <c r="A853" s="29"/>
      <c r="B853" s="29"/>
      <c r="C853" s="29"/>
      <c r="D853" s="29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29"/>
      <c r="AA853" s="29"/>
      <c r="AB853" s="29"/>
      <c r="AC853" s="29"/>
      <c r="AD853" s="29"/>
      <c r="AE853" s="29"/>
      <c r="AF853" s="29"/>
    </row>
    <row r="854" ht="21.75" customHeight="1">
      <c r="A854" s="29"/>
      <c r="B854" s="29"/>
      <c r="C854" s="29"/>
      <c r="D854" s="29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29"/>
      <c r="AA854" s="29"/>
      <c r="AB854" s="29"/>
      <c r="AC854" s="29"/>
      <c r="AD854" s="29"/>
      <c r="AE854" s="29"/>
      <c r="AF854" s="29"/>
    </row>
    <row r="855" ht="21.75" customHeight="1">
      <c r="A855" s="29"/>
      <c r="B855" s="29"/>
      <c r="C855" s="29"/>
      <c r="D855" s="29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29"/>
      <c r="AA855" s="29"/>
      <c r="AB855" s="29"/>
      <c r="AC855" s="29"/>
      <c r="AD855" s="29"/>
      <c r="AE855" s="29"/>
      <c r="AF855" s="29"/>
    </row>
    <row r="856" ht="21.75" customHeight="1">
      <c r="A856" s="29"/>
      <c r="B856" s="29"/>
      <c r="C856" s="29"/>
      <c r="D856" s="29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29"/>
      <c r="AA856" s="29"/>
      <c r="AB856" s="29"/>
      <c r="AC856" s="29"/>
      <c r="AD856" s="29"/>
      <c r="AE856" s="29"/>
      <c r="AF856" s="29"/>
    </row>
    <row r="857" ht="21.75" customHeight="1">
      <c r="A857" s="29"/>
      <c r="B857" s="29"/>
      <c r="C857" s="29"/>
      <c r="D857" s="29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29"/>
      <c r="AA857" s="29"/>
      <c r="AB857" s="29"/>
      <c r="AC857" s="29"/>
      <c r="AD857" s="29"/>
      <c r="AE857" s="29"/>
      <c r="AF857" s="29"/>
    </row>
    <row r="858" ht="21.75" customHeight="1">
      <c r="A858" s="29"/>
      <c r="B858" s="29"/>
      <c r="C858" s="29"/>
      <c r="D858" s="29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29"/>
      <c r="AA858" s="29"/>
      <c r="AB858" s="29"/>
      <c r="AC858" s="29"/>
      <c r="AD858" s="29"/>
      <c r="AE858" s="29"/>
      <c r="AF858" s="29"/>
    </row>
    <row r="859" ht="21.75" customHeight="1">
      <c r="A859" s="29"/>
      <c r="B859" s="29"/>
      <c r="C859" s="29"/>
      <c r="D859" s="29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29"/>
      <c r="AA859" s="29"/>
      <c r="AB859" s="29"/>
      <c r="AC859" s="29"/>
      <c r="AD859" s="29"/>
      <c r="AE859" s="29"/>
      <c r="AF859" s="29"/>
    </row>
    <row r="860" ht="21.75" customHeight="1">
      <c r="A860" s="29"/>
      <c r="B860" s="29"/>
      <c r="C860" s="29"/>
      <c r="D860" s="29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29"/>
      <c r="AA860" s="29"/>
      <c r="AB860" s="29"/>
      <c r="AC860" s="29"/>
      <c r="AD860" s="29"/>
      <c r="AE860" s="29"/>
      <c r="AF860" s="29"/>
    </row>
    <row r="861" ht="21.75" customHeight="1">
      <c r="A861" s="29"/>
      <c r="B861" s="29"/>
      <c r="C861" s="29"/>
      <c r="D861" s="29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29"/>
      <c r="AA861" s="29"/>
      <c r="AB861" s="29"/>
      <c r="AC861" s="29"/>
      <c r="AD861" s="29"/>
      <c r="AE861" s="29"/>
      <c r="AF861" s="29"/>
    </row>
    <row r="862" ht="21.75" customHeight="1">
      <c r="A862" s="29"/>
      <c r="B862" s="29"/>
      <c r="C862" s="29"/>
      <c r="D862" s="29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29"/>
      <c r="AA862" s="29"/>
      <c r="AB862" s="29"/>
      <c r="AC862" s="29"/>
      <c r="AD862" s="29"/>
      <c r="AE862" s="29"/>
      <c r="AF862" s="29"/>
    </row>
    <row r="863" ht="21.75" customHeight="1">
      <c r="A863" s="29"/>
      <c r="B863" s="29"/>
      <c r="C863" s="29"/>
      <c r="D863" s="29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29"/>
      <c r="AA863" s="29"/>
      <c r="AB863" s="29"/>
      <c r="AC863" s="29"/>
      <c r="AD863" s="29"/>
      <c r="AE863" s="29"/>
      <c r="AF863" s="29"/>
    </row>
    <row r="864" ht="21.75" customHeight="1">
      <c r="A864" s="29"/>
      <c r="B864" s="29"/>
      <c r="C864" s="29"/>
      <c r="D864" s="29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29"/>
      <c r="AA864" s="29"/>
      <c r="AB864" s="29"/>
      <c r="AC864" s="29"/>
      <c r="AD864" s="29"/>
      <c r="AE864" s="29"/>
      <c r="AF864" s="29"/>
    </row>
    <row r="865" ht="21.75" customHeight="1">
      <c r="A865" s="29"/>
      <c r="B865" s="29"/>
      <c r="C865" s="29"/>
      <c r="D865" s="29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29"/>
      <c r="AA865" s="29"/>
      <c r="AB865" s="29"/>
      <c r="AC865" s="29"/>
      <c r="AD865" s="29"/>
      <c r="AE865" s="29"/>
      <c r="AF865" s="29"/>
    </row>
    <row r="866" ht="21.75" customHeight="1">
      <c r="A866" s="29"/>
      <c r="B866" s="29"/>
      <c r="C866" s="29"/>
      <c r="D866" s="29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29"/>
      <c r="AA866" s="29"/>
      <c r="AB866" s="29"/>
      <c r="AC866" s="29"/>
      <c r="AD866" s="29"/>
      <c r="AE866" s="29"/>
      <c r="AF866" s="29"/>
    </row>
    <row r="867" ht="21.75" customHeight="1">
      <c r="A867" s="29"/>
      <c r="B867" s="29"/>
      <c r="C867" s="29"/>
      <c r="D867" s="29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29"/>
      <c r="AA867" s="29"/>
      <c r="AB867" s="29"/>
      <c r="AC867" s="29"/>
      <c r="AD867" s="29"/>
      <c r="AE867" s="29"/>
      <c r="AF867" s="29"/>
    </row>
    <row r="868" ht="21.75" customHeight="1">
      <c r="A868" s="29"/>
      <c r="B868" s="29"/>
      <c r="C868" s="29"/>
      <c r="D868" s="29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29"/>
      <c r="AA868" s="29"/>
      <c r="AB868" s="29"/>
      <c r="AC868" s="29"/>
      <c r="AD868" s="29"/>
      <c r="AE868" s="29"/>
      <c r="AF868" s="29"/>
    </row>
    <row r="869" ht="21.75" customHeight="1">
      <c r="A869" s="29"/>
      <c r="B869" s="29"/>
      <c r="C869" s="29"/>
      <c r="D869" s="29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29"/>
      <c r="AA869" s="29"/>
      <c r="AB869" s="29"/>
      <c r="AC869" s="29"/>
      <c r="AD869" s="29"/>
      <c r="AE869" s="29"/>
      <c r="AF869" s="29"/>
    </row>
    <row r="870" ht="21.75" customHeight="1">
      <c r="A870" s="29"/>
      <c r="B870" s="29"/>
      <c r="C870" s="29"/>
      <c r="D870" s="29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29"/>
      <c r="AA870" s="29"/>
      <c r="AB870" s="29"/>
      <c r="AC870" s="29"/>
      <c r="AD870" s="29"/>
      <c r="AE870" s="29"/>
      <c r="AF870" s="29"/>
    </row>
    <row r="871" ht="21.75" customHeight="1">
      <c r="A871" s="29"/>
      <c r="B871" s="29"/>
      <c r="C871" s="29"/>
      <c r="D871" s="29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29"/>
      <c r="AA871" s="29"/>
      <c r="AB871" s="29"/>
      <c r="AC871" s="29"/>
      <c r="AD871" s="29"/>
      <c r="AE871" s="29"/>
      <c r="AF871" s="29"/>
    </row>
    <row r="872" ht="21.75" customHeight="1">
      <c r="A872" s="29"/>
      <c r="B872" s="29"/>
      <c r="C872" s="29"/>
      <c r="D872" s="29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29"/>
      <c r="AA872" s="29"/>
      <c r="AB872" s="29"/>
      <c r="AC872" s="29"/>
      <c r="AD872" s="29"/>
      <c r="AE872" s="29"/>
      <c r="AF872" s="29"/>
    </row>
    <row r="873" ht="21.75" customHeight="1">
      <c r="A873" s="29"/>
      <c r="B873" s="29"/>
      <c r="C873" s="29"/>
      <c r="D873" s="29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29"/>
      <c r="AA873" s="29"/>
      <c r="AB873" s="29"/>
      <c r="AC873" s="29"/>
      <c r="AD873" s="29"/>
      <c r="AE873" s="29"/>
      <c r="AF873" s="29"/>
    </row>
    <row r="874" ht="21.75" customHeight="1">
      <c r="A874" s="29"/>
      <c r="B874" s="29"/>
      <c r="C874" s="29"/>
      <c r="D874" s="29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29"/>
      <c r="AA874" s="29"/>
      <c r="AB874" s="29"/>
      <c r="AC874" s="29"/>
      <c r="AD874" s="29"/>
      <c r="AE874" s="29"/>
      <c r="AF874" s="29"/>
    </row>
    <row r="875" ht="21.75" customHeight="1">
      <c r="A875" s="29"/>
      <c r="B875" s="29"/>
      <c r="C875" s="29"/>
      <c r="D875" s="29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29"/>
      <c r="AA875" s="29"/>
      <c r="AB875" s="29"/>
      <c r="AC875" s="29"/>
      <c r="AD875" s="29"/>
      <c r="AE875" s="29"/>
      <c r="AF875" s="29"/>
    </row>
    <row r="876" ht="21.75" customHeight="1">
      <c r="A876" s="29"/>
      <c r="B876" s="29"/>
      <c r="C876" s="29"/>
      <c r="D876" s="29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29"/>
      <c r="AA876" s="29"/>
      <c r="AB876" s="29"/>
      <c r="AC876" s="29"/>
      <c r="AD876" s="29"/>
      <c r="AE876" s="29"/>
      <c r="AF876" s="29"/>
    </row>
    <row r="877" ht="21.75" customHeight="1">
      <c r="A877" s="29"/>
      <c r="B877" s="29"/>
      <c r="C877" s="29"/>
      <c r="D877" s="29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29"/>
      <c r="AA877" s="29"/>
      <c r="AB877" s="29"/>
      <c r="AC877" s="29"/>
      <c r="AD877" s="29"/>
      <c r="AE877" s="29"/>
      <c r="AF877" s="29"/>
    </row>
    <row r="878" ht="21.75" customHeight="1">
      <c r="A878" s="29"/>
      <c r="B878" s="29"/>
      <c r="C878" s="29"/>
      <c r="D878" s="29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29"/>
      <c r="AA878" s="29"/>
      <c r="AB878" s="29"/>
      <c r="AC878" s="29"/>
      <c r="AD878" s="29"/>
      <c r="AE878" s="29"/>
      <c r="AF878" s="29"/>
    </row>
    <row r="879" ht="21.75" customHeight="1">
      <c r="A879" s="29"/>
      <c r="B879" s="29"/>
      <c r="C879" s="29"/>
      <c r="D879" s="29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29"/>
      <c r="AA879" s="29"/>
      <c r="AB879" s="29"/>
      <c r="AC879" s="29"/>
      <c r="AD879" s="29"/>
      <c r="AE879" s="29"/>
      <c r="AF879" s="29"/>
    </row>
    <row r="880" ht="21.75" customHeight="1">
      <c r="A880" s="29"/>
      <c r="B880" s="29"/>
      <c r="C880" s="29"/>
      <c r="D880" s="29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29"/>
      <c r="AA880" s="29"/>
      <c r="AB880" s="29"/>
      <c r="AC880" s="29"/>
      <c r="AD880" s="29"/>
      <c r="AE880" s="29"/>
      <c r="AF880" s="29"/>
    </row>
    <row r="881" ht="21.75" customHeight="1">
      <c r="A881" s="29"/>
      <c r="B881" s="29"/>
      <c r="C881" s="29"/>
      <c r="D881" s="29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29"/>
      <c r="AA881" s="29"/>
      <c r="AB881" s="29"/>
      <c r="AC881" s="29"/>
      <c r="AD881" s="29"/>
      <c r="AE881" s="29"/>
      <c r="AF881" s="29"/>
    </row>
    <row r="882" ht="21.75" customHeight="1">
      <c r="A882" s="29"/>
      <c r="B882" s="29"/>
      <c r="C882" s="29"/>
      <c r="D882" s="29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29"/>
      <c r="AA882" s="29"/>
      <c r="AB882" s="29"/>
      <c r="AC882" s="29"/>
      <c r="AD882" s="29"/>
      <c r="AE882" s="29"/>
      <c r="AF882" s="29"/>
    </row>
    <row r="883" ht="21.75" customHeight="1">
      <c r="A883" s="29"/>
      <c r="B883" s="29"/>
      <c r="C883" s="29"/>
      <c r="D883" s="29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29"/>
      <c r="AA883" s="29"/>
      <c r="AB883" s="29"/>
      <c r="AC883" s="29"/>
      <c r="AD883" s="29"/>
      <c r="AE883" s="29"/>
      <c r="AF883" s="29"/>
    </row>
    <row r="884" ht="21.75" customHeight="1">
      <c r="A884" s="29"/>
      <c r="B884" s="29"/>
      <c r="C884" s="29"/>
      <c r="D884" s="29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29"/>
      <c r="AA884" s="29"/>
      <c r="AB884" s="29"/>
      <c r="AC884" s="29"/>
      <c r="AD884" s="29"/>
      <c r="AE884" s="29"/>
      <c r="AF884" s="29"/>
    </row>
    <row r="885" ht="21.75" customHeight="1">
      <c r="A885" s="29"/>
      <c r="B885" s="29"/>
      <c r="C885" s="29"/>
      <c r="D885" s="29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29"/>
      <c r="AA885" s="29"/>
      <c r="AB885" s="29"/>
      <c r="AC885" s="29"/>
      <c r="AD885" s="29"/>
      <c r="AE885" s="29"/>
      <c r="AF885" s="29"/>
    </row>
    <row r="886" ht="21.75" customHeight="1">
      <c r="A886" s="29"/>
      <c r="B886" s="29"/>
      <c r="C886" s="29"/>
      <c r="D886" s="29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29"/>
      <c r="AA886" s="29"/>
      <c r="AB886" s="29"/>
      <c r="AC886" s="29"/>
      <c r="AD886" s="29"/>
      <c r="AE886" s="29"/>
      <c r="AF886" s="29"/>
    </row>
    <row r="887" ht="21.75" customHeight="1">
      <c r="A887" s="29"/>
      <c r="B887" s="29"/>
      <c r="C887" s="29"/>
      <c r="D887" s="29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29"/>
      <c r="AA887" s="29"/>
      <c r="AB887" s="29"/>
      <c r="AC887" s="29"/>
      <c r="AD887" s="29"/>
      <c r="AE887" s="29"/>
      <c r="AF887" s="29"/>
    </row>
    <row r="888" ht="21.75" customHeight="1">
      <c r="A888" s="29"/>
      <c r="B888" s="29"/>
      <c r="C888" s="29"/>
      <c r="D888" s="29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29"/>
      <c r="AA888" s="29"/>
      <c r="AB888" s="29"/>
      <c r="AC888" s="29"/>
      <c r="AD888" s="29"/>
      <c r="AE888" s="29"/>
      <c r="AF888" s="29"/>
    </row>
    <row r="889" ht="21.75" customHeight="1">
      <c r="A889" s="29"/>
      <c r="B889" s="29"/>
      <c r="C889" s="29"/>
      <c r="D889" s="29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29"/>
      <c r="AA889" s="29"/>
      <c r="AB889" s="29"/>
      <c r="AC889" s="29"/>
      <c r="AD889" s="29"/>
      <c r="AE889" s="29"/>
      <c r="AF889" s="29"/>
    </row>
    <row r="890" ht="21.75" customHeight="1">
      <c r="A890" s="29"/>
      <c r="B890" s="29"/>
      <c r="C890" s="29"/>
      <c r="D890" s="29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29"/>
      <c r="AA890" s="29"/>
      <c r="AB890" s="29"/>
      <c r="AC890" s="29"/>
      <c r="AD890" s="29"/>
      <c r="AE890" s="29"/>
      <c r="AF890" s="29"/>
    </row>
    <row r="891" ht="21.75" customHeight="1">
      <c r="A891" s="29"/>
      <c r="B891" s="29"/>
      <c r="C891" s="29"/>
      <c r="D891" s="29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29"/>
      <c r="AA891" s="29"/>
      <c r="AB891" s="29"/>
      <c r="AC891" s="29"/>
      <c r="AD891" s="29"/>
      <c r="AE891" s="29"/>
      <c r="AF891" s="29"/>
    </row>
    <row r="892" ht="21.75" customHeight="1">
      <c r="A892" s="29"/>
      <c r="B892" s="29"/>
      <c r="C892" s="29"/>
      <c r="D892" s="29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29"/>
      <c r="AA892" s="29"/>
      <c r="AB892" s="29"/>
      <c r="AC892" s="29"/>
      <c r="AD892" s="29"/>
      <c r="AE892" s="29"/>
      <c r="AF892" s="29"/>
    </row>
    <row r="893" ht="21.75" customHeight="1">
      <c r="A893" s="29"/>
      <c r="B893" s="29"/>
      <c r="C893" s="29"/>
      <c r="D893" s="29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29"/>
      <c r="AA893" s="29"/>
      <c r="AB893" s="29"/>
      <c r="AC893" s="29"/>
      <c r="AD893" s="29"/>
      <c r="AE893" s="29"/>
      <c r="AF893" s="29"/>
    </row>
    <row r="894" ht="21.75" customHeight="1">
      <c r="A894" s="29"/>
      <c r="B894" s="29"/>
      <c r="C894" s="29"/>
      <c r="D894" s="29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29"/>
      <c r="AA894" s="29"/>
      <c r="AB894" s="29"/>
      <c r="AC894" s="29"/>
      <c r="AD894" s="29"/>
      <c r="AE894" s="29"/>
      <c r="AF894" s="29"/>
    </row>
    <row r="895" ht="21.75" customHeight="1">
      <c r="A895" s="29"/>
      <c r="B895" s="29"/>
      <c r="C895" s="29"/>
      <c r="D895" s="29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29"/>
      <c r="AA895" s="29"/>
      <c r="AB895" s="29"/>
      <c r="AC895" s="29"/>
      <c r="AD895" s="29"/>
      <c r="AE895" s="29"/>
      <c r="AF895" s="29"/>
    </row>
    <row r="896" ht="21.75" customHeight="1">
      <c r="A896" s="29"/>
      <c r="B896" s="29"/>
      <c r="C896" s="29"/>
      <c r="D896" s="29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29"/>
      <c r="AA896" s="29"/>
      <c r="AB896" s="29"/>
      <c r="AC896" s="29"/>
      <c r="AD896" s="29"/>
      <c r="AE896" s="29"/>
      <c r="AF896" s="29"/>
    </row>
    <row r="897" ht="21.75" customHeight="1">
      <c r="A897" s="29"/>
      <c r="B897" s="29"/>
      <c r="C897" s="29"/>
      <c r="D897" s="29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29"/>
      <c r="AA897" s="29"/>
      <c r="AB897" s="29"/>
      <c r="AC897" s="29"/>
      <c r="AD897" s="29"/>
      <c r="AE897" s="29"/>
      <c r="AF897" s="29"/>
    </row>
    <row r="898" ht="21.75" customHeight="1">
      <c r="A898" s="29"/>
      <c r="B898" s="29"/>
      <c r="C898" s="29"/>
      <c r="D898" s="29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29"/>
      <c r="AA898" s="29"/>
      <c r="AB898" s="29"/>
      <c r="AC898" s="29"/>
      <c r="AD898" s="29"/>
      <c r="AE898" s="29"/>
      <c r="AF898" s="29"/>
    </row>
    <row r="899" ht="21.75" customHeight="1">
      <c r="A899" s="29"/>
      <c r="B899" s="29"/>
      <c r="C899" s="29"/>
      <c r="D899" s="29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29"/>
      <c r="AA899" s="29"/>
      <c r="AB899" s="29"/>
      <c r="AC899" s="29"/>
      <c r="AD899" s="29"/>
      <c r="AE899" s="29"/>
      <c r="AF899" s="29"/>
    </row>
    <row r="900" ht="21.75" customHeight="1">
      <c r="A900" s="29"/>
      <c r="B900" s="29"/>
      <c r="C900" s="29"/>
      <c r="D900" s="29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29"/>
      <c r="AA900" s="29"/>
      <c r="AB900" s="29"/>
      <c r="AC900" s="29"/>
      <c r="AD900" s="29"/>
      <c r="AE900" s="29"/>
      <c r="AF900" s="29"/>
    </row>
    <row r="901" ht="21.75" customHeight="1">
      <c r="A901" s="29"/>
      <c r="B901" s="29"/>
      <c r="C901" s="29"/>
      <c r="D901" s="29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29"/>
      <c r="AA901" s="29"/>
      <c r="AB901" s="29"/>
      <c r="AC901" s="29"/>
      <c r="AD901" s="29"/>
      <c r="AE901" s="29"/>
      <c r="AF901" s="29"/>
    </row>
    <row r="902" ht="21.75" customHeight="1">
      <c r="A902" s="29"/>
      <c r="B902" s="29"/>
      <c r="C902" s="29"/>
      <c r="D902" s="29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29"/>
      <c r="AA902" s="29"/>
      <c r="AB902" s="29"/>
      <c r="AC902" s="29"/>
      <c r="AD902" s="29"/>
      <c r="AE902" s="29"/>
      <c r="AF902" s="29"/>
    </row>
    <row r="903" ht="21.75" customHeight="1">
      <c r="A903" s="29"/>
      <c r="B903" s="29"/>
      <c r="C903" s="29"/>
      <c r="D903" s="29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29"/>
      <c r="AA903" s="29"/>
      <c r="AB903" s="29"/>
      <c r="AC903" s="29"/>
      <c r="AD903" s="29"/>
      <c r="AE903" s="29"/>
      <c r="AF903" s="29"/>
    </row>
    <row r="904" ht="21.75" customHeight="1">
      <c r="A904" s="29"/>
      <c r="B904" s="29"/>
      <c r="C904" s="29"/>
      <c r="D904" s="29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29"/>
      <c r="AA904" s="29"/>
      <c r="AB904" s="29"/>
      <c r="AC904" s="29"/>
      <c r="AD904" s="29"/>
      <c r="AE904" s="29"/>
      <c r="AF904" s="29"/>
    </row>
    <row r="905" ht="21.75" customHeight="1">
      <c r="A905" s="29"/>
      <c r="B905" s="29"/>
      <c r="C905" s="29"/>
      <c r="D905" s="29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29"/>
      <c r="AA905" s="29"/>
      <c r="AB905" s="29"/>
      <c r="AC905" s="29"/>
      <c r="AD905" s="29"/>
      <c r="AE905" s="29"/>
      <c r="AF905" s="29"/>
    </row>
    <row r="906" ht="21.75" customHeight="1">
      <c r="A906" s="29"/>
      <c r="B906" s="29"/>
      <c r="C906" s="29"/>
      <c r="D906" s="29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29"/>
      <c r="AA906" s="29"/>
      <c r="AB906" s="29"/>
      <c r="AC906" s="29"/>
      <c r="AD906" s="29"/>
      <c r="AE906" s="29"/>
      <c r="AF906" s="29"/>
    </row>
    <row r="907" ht="21.75" customHeight="1">
      <c r="A907" s="29"/>
      <c r="B907" s="29"/>
      <c r="C907" s="29"/>
      <c r="D907" s="29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29"/>
      <c r="AA907" s="29"/>
      <c r="AB907" s="29"/>
      <c r="AC907" s="29"/>
      <c r="AD907" s="29"/>
      <c r="AE907" s="29"/>
      <c r="AF907" s="29"/>
    </row>
    <row r="908" ht="21.75" customHeight="1">
      <c r="A908" s="29"/>
      <c r="B908" s="29"/>
      <c r="C908" s="29"/>
      <c r="D908" s="29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29"/>
      <c r="AA908" s="29"/>
      <c r="AB908" s="29"/>
      <c r="AC908" s="29"/>
      <c r="AD908" s="29"/>
      <c r="AE908" s="29"/>
      <c r="AF908" s="29"/>
    </row>
    <row r="909" ht="21.75" customHeight="1">
      <c r="A909" s="29"/>
      <c r="B909" s="29"/>
      <c r="C909" s="29"/>
      <c r="D909" s="29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29"/>
      <c r="AA909" s="29"/>
      <c r="AB909" s="29"/>
      <c r="AC909" s="29"/>
      <c r="AD909" s="29"/>
      <c r="AE909" s="29"/>
      <c r="AF909" s="29"/>
    </row>
    <row r="910" ht="21.75" customHeight="1">
      <c r="A910" s="29"/>
      <c r="B910" s="29"/>
      <c r="C910" s="29"/>
      <c r="D910" s="29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29"/>
      <c r="AA910" s="29"/>
      <c r="AB910" s="29"/>
      <c r="AC910" s="29"/>
      <c r="AD910" s="29"/>
      <c r="AE910" s="29"/>
      <c r="AF910" s="29"/>
    </row>
    <row r="911" ht="21.75" customHeight="1">
      <c r="A911" s="29"/>
      <c r="B911" s="29"/>
      <c r="C911" s="29"/>
      <c r="D911" s="29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29"/>
      <c r="AA911" s="29"/>
      <c r="AB911" s="29"/>
      <c r="AC911" s="29"/>
      <c r="AD911" s="29"/>
      <c r="AE911" s="29"/>
      <c r="AF911" s="29"/>
    </row>
    <row r="912" ht="21.75" customHeight="1">
      <c r="A912" s="29"/>
      <c r="B912" s="29"/>
      <c r="C912" s="29"/>
      <c r="D912" s="29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29"/>
      <c r="AA912" s="29"/>
      <c r="AB912" s="29"/>
      <c r="AC912" s="29"/>
      <c r="AD912" s="29"/>
      <c r="AE912" s="29"/>
      <c r="AF912" s="29"/>
    </row>
    <row r="913" ht="21.75" customHeight="1">
      <c r="A913" s="29"/>
      <c r="B913" s="29"/>
      <c r="C913" s="29"/>
      <c r="D913" s="29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29"/>
      <c r="AA913" s="29"/>
      <c r="AB913" s="29"/>
      <c r="AC913" s="29"/>
      <c r="AD913" s="29"/>
      <c r="AE913" s="29"/>
      <c r="AF913" s="29"/>
    </row>
    <row r="914" ht="21.75" customHeight="1">
      <c r="A914" s="29"/>
      <c r="B914" s="29"/>
      <c r="C914" s="29"/>
      <c r="D914" s="29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29"/>
      <c r="AA914" s="29"/>
      <c r="AB914" s="29"/>
      <c r="AC914" s="29"/>
      <c r="AD914" s="29"/>
      <c r="AE914" s="29"/>
      <c r="AF914" s="29"/>
    </row>
    <row r="915" ht="21.75" customHeight="1">
      <c r="A915" s="29"/>
      <c r="B915" s="29"/>
      <c r="C915" s="29"/>
      <c r="D915" s="29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29"/>
      <c r="AA915" s="29"/>
      <c r="AB915" s="29"/>
      <c r="AC915" s="29"/>
      <c r="AD915" s="29"/>
      <c r="AE915" s="29"/>
      <c r="AF915" s="29"/>
    </row>
    <row r="916" ht="21.75" customHeight="1">
      <c r="A916" s="29"/>
      <c r="B916" s="29"/>
      <c r="C916" s="29"/>
      <c r="D916" s="29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29"/>
      <c r="AA916" s="29"/>
      <c r="AB916" s="29"/>
      <c r="AC916" s="29"/>
      <c r="AD916" s="29"/>
      <c r="AE916" s="29"/>
      <c r="AF916" s="29"/>
    </row>
    <row r="917" ht="21.75" customHeight="1">
      <c r="A917" s="29"/>
      <c r="B917" s="29"/>
      <c r="C917" s="29"/>
      <c r="D917" s="29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29"/>
      <c r="AA917" s="29"/>
      <c r="AB917" s="29"/>
      <c r="AC917" s="29"/>
      <c r="AD917" s="29"/>
      <c r="AE917" s="29"/>
      <c r="AF917" s="29"/>
    </row>
    <row r="918" ht="21.75" customHeight="1">
      <c r="A918" s="29"/>
      <c r="B918" s="29"/>
      <c r="C918" s="29"/>
      <c r="D918" s="29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29"/>
      <c r="AA918" s="29"/>
      <c r="AB918" s="29"/>
      <c r="AC918" s="29"/>
      <c r="AD918" s="29"/>
      <c r="AE918" s="29"/>
      <c r="AF918" s="29"/>
    </row>
    <row r="919" ht="21.75" customHeight="1">
      <c r="A919" s="29"/>
      <c r="B919" s="29"/>
      <c r="C919" s="29"/>
      <c r="D919" s="29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29"/>
      <c r="AA919" s="29"/>
      <c r="AB919" s="29"/>
      <c r="AC919" s="29"/>
      <c r="AD919" s="29"/>
      <c r="AE919" s="29"/>
      <c r="AF919" s="29"/>
    </row>
    <row r="920" ht="21.75" customHeight="1">
      <c r="A920" s="29"/>
      <c r="B920" s="29"/>
      <c r="C920" s="29"/>
      <c r="D920" s="29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29"/>
      <c r="AA920" s="29"/>
      <c r="AB920" s="29"/>
      <c r="AC920" s="29"/>
      <c r="AD920" s="29"/>
      <c r="AE920" s="29"/>
      <c r="AF920" s="29"/>
    </row>
    <row r="921" ht="21.75" customHeight="1">
      <c r="A921" s="29"/>
      <c r="B921" s="29"/>
      <c r="C921" s="29"/>
      <c r="D921" s="29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29"/>
      <c r="AA921" s="29"/>
      <c r="AB921" s="29"/>
      <c r="AC921" s="29"/>
      <c r="AD921" s="29"/>
      <c r="AE921" s="29"/>
      <c r="AF921" s="29"/>
    </row>
    <row r="922" ht="21.75" customHeight="1">
      <c r="A922" s="29"/>
      <c r="B922" s="29"/>
      <c r="C922" s="29"/>
      <c r="D922" s="29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29"/>
      <c r="AA922" s="29"/>
      <c r="AB922" s="29"/>
      <c r="AC922" s="29"/>
      <c r="AD922" s="29"/>
      <c r="AE922" s="29"/>
      <c r="AF922" s="29"/>
    </row>
    <row r="923" ht="21.75" customHeight="1">
      <c r="A923" s="29"/>
      <c r="B923" s="29"/>
      <c r="C923" s="29"/>
      <c r="D923" s="29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29"/>
      <c r="AA923" s="29"/>
      <c r="AB923" s="29"/>
      <c r="AC923" s="29"/>
      <c r="AD923" s="29"/>
      <c r="AE923" s="29"/>
      <c r="AF923" s="29"/>
    </row>
    <row r="924" ht="21.75" customHeight="1">
      <c r="A924" s="29"/>
      <c r="B924" s="29"/>
      <c r="C924" s="29"/>
      <c r="D924" s="29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29"/>
      <c r="AA924" s="29"/>
      <c r="AB924" s="29"/>
      <c r="AC924" s="29"/>
      <c r="AD924" s="29"/>
      <c r="AE924" s="29"/>
      <c r="AF924" s="29"/>
    </row>
    <row r="925" ht="21.75" customHeight="1">
      <c r="A925" s="29"/>
      <c r="B925" s="29"/>
      <c r="C925" s="29"/>
      <c r="D925" s="29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29"/>
      <c r="AA925" s="29"/>
      <c r="AB925" s="29"/>
      <c r="AC925" s="29"/>
      <c r="AD925" s="29"/>
      <c r="AE925" s="29"/>
      <c r="AF925" s="29"/>
    </row>
    <row r="926" ht="21.75" customHeight="1">
      <c r="A926" s="29"/>
      <c r="B926" s="29"/>
      <c r="C926" s="29"/>
      <c r="D926" s="29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29"/>
      <c r="AA926" s="29"/>
      <c r="AB926" s="29"/>
      <c r="AC926" s="29"/>
      <c r="AD926" s="29"/>
      <c r="AE926" s="29"/>
      <c r="AF926" s="29"/>
    </row>
    <row r="927" ht="21.75" customHeight="1">
      <c r="A927" s="29"/>
      <c r="B927" s="29"/>
      <c r="C927" s="29"/>
      <c r="D927" s="29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29"/>
      <c r="AA927" s="29"/>
      <c r="AB927" s="29"/>
      <c r="AC927" s="29"/>
      <c r="AD927" s="29"/>
      <c r="AE927" s="29"/>
      <c r="AF927" s="29"/>
    </row>
    <row r="928" ht="21.75" customHeight="1">
      <c r="A928" s="29"/>
      <c r="B928" s="29"/>
      <c r="C928" s="29"/>
      <c r="D928" s="29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29"/>
      <c r="AA928" s="29"/>
      <c r="AB928" s="29"/>
      <c r="AC928" s="29"/>
      <c r="AD928" s="29"/>
      <c r="AE928" s="29"/>
      <c r="AF928" s="29"/>
    </row>
    <row r="929" ht="21.75" customHeight="1">
      <c r="A929" s="29"/>
      <c r="B929" s="29"/>
      <c r="C929" s="29"/>
      <c r="D929" s="29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29"/>
      <c r="AA929" s="29"/>
      <c r="AB929" s="29"/>
      <c r="AC929" s="29"/>
      <c r="AD929" s="29"/>
      <c r="AE929" s="29"/>
      <c r="AF929" s="29"/>
    </row>
    <row r="930" ht="21.75" customHeight="1">
      <c r="A930" s="29"/>
      <c r="B930" s="29"/>
      <c r="C930" s="29"/>
      <c r="D930" s="29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29"/>
      <c r="AA930" s="29"/>
      <c r="AB930" s="29"/>
      <c r="AC930" s="29"/>
      <c r="AD930" s="29"/>
      <c r="AE930" s="29"/>
      <c r="AF930" s="29"/>
    </row>
    <row r="931" ht="21.75" customHeight="1">
      <c r="A931" s="29"/>
      <c r="B931" s="29"/>
      <c r="C931" s="29"/>
      <c r="D931" s="29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29"/>
      <c r="AA931" s="29"/>
      <c r="AB931" s="29"/>
      <c r="AC931" s="29"/>
      <c r="AD931" s="29"/>
      <c r="AE931" s="29"/>
      <c r="AF931" s="29"/>
    </row>
    <row r="932" ht="21.75" customHeight="1">
      <c r="A932" s="29"/>
      <c r="B932" s="29"/>
      <c r="C932" s="29"/>
      <c r="D932" s="29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29"/>
      <c r="AA932" s="29"/>
      <c r="AB932" s="29"/>
      <c r="AC932" s="29"/>
      <c r="AD932" s="29"/>
      <c r="AE932" s="29"/>
      <c r="AF932" s="29"/>
    </row>
    <row r="933" ht="21.75" customHeight="1">
      <c r="A933" s="29"/>
      <c r="B933" s="29"/>
      <c r="C933" s="29"/>
      <c r="D933" s="29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29"/>
      <c r="AA933" s="29"/>
      <c r="AB933" s="29"/>
      <c r="AC933" s="29"/>
      <c r="AD933" s="29"/>
      <c r="AE933" s="29"/>
      <c r="AF933" s="29"/>
    </row>
    <row r="934" ht="21.75" customHeight="1">
      <c r="A934" s="29"/>
      <c r="B934" s="29"/>
      <c r="C934" s="29"/>
      <c r="D934" s="29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29"/>
      <c r="AA934" s="29"/>
      <c r="AB934" s="29"/>
      <c r="AC934" s="29"/>
      <c r="AD934" s="29"/>
      <c r="AE934" s="29"/>
      <c r="AF934" s="29"/>
    </row>
    <row r="935" ht="21.75" customHeight="1">
      <c r="A935" s="29"/>
      <c r="B935" s="29"/>
      <c r="C935" s="29"/>
      <c r="D935" s="29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29"/>
      <c r="AA935" s="29"/>
      <c r="AB935" s="29"/>
      <c r="AC935" s="29"/>
      <c r="AD935" s="29"/>
      <c r="AE935" s="29"/>
      <c r="AF935" s="29"/>
    </row>
    <row r="936" ht="21.75" customHeight="1">
      <c r="A936" s="29"/>
      <c r="B936" s="29"/>
      <c r="C936" s="29"/>
      <c r="D936" s="29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29"/>
      <c r="AA936" s="29"/>
      <c r="AB936" s="29"/>
      <c r="AC936" s="29"/>
      <c r="AD936" s="29"/>
      <c r="AE936" s="29"/>
      <c r="AF936" s="29"/>
    </row>
    <row r="937" ht="21.75" customHeight="1">
      <c r="A937" s="29"/>
      <c r="B937" s="29"/>
      <c r="C937" s="29"/>
      <c r="D937" s="29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29"/>
      <c r="AA937" s="29"/>
      <c r="AB937" s="29"/>
      <c r="AC937" s="29"/>
      <c r="AD937" s="29"/>
      <c r="AE937" s="29"/>
      <c r="AF937" s="29"/>
    </row>
    <row r="938" ht="21.75" customHeight="1">
      <c r="A938" s="29"/>
      <c r="B938" s="29"/>
      <c r="C938" s="29"/>
      <c r="D938" s="29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29"/>
      <c r="AA938" s="29"/>
      <c r="AB938" s="29"/>
      <c r="AC938" s="29"/>
      <c r="AD938" s="29"/>
      <c r="AE938" s="29"/>
      <c r="AF938" s="29"/>
    </row>
    <row r="939" ht="21.75" customHeight="1">
      <c r="A939" s="29"/>
      <c r="B939" s="29"/>
      <c r="C939" s="29"/>
      <c r="D939" s="29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29"/>
      <c r="AA939" s="29"/>
      <c r="AB939" s="29"/>
      <c r="AC939" s="29"/>
      <c r="AD939" s="29"/>
      <c r="AE939" s="29"/>
      <c r="AF939" s="29"/>
    </row>
    <row r="940" ht="21.75" customHeight="1">
      <c r="A940" s="29"/>
      <c r="B940" s="29"/>
      <c r="C940" s="29"/>
      <c r="D940" s="29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29"/>
      <c r="AA940" s="29"/>
      <c r="AB940" s="29"/>
      <c r="AC940" s="29"/>
      <c r="AD940" s="29"/>
      <c r="AE940" s="29"/>
      <c r="AF940" s="29"/>
    </row>
    <row r="941" ht="21.75" customHeight="1">
      <c r="A941" s="29"/>
      <c r="B941" s="29"/>
      <c r="C941" s="29"/>
      <c r="D941" s="29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29"/>
      <c r="AA941" s="29"/>
      <c r="AB941" s="29"/>
      <c r="AC941" s="29"/>
      <c r="AD941" s="29"/>
      <c r="AE941" s="29"/>
      <c r="AF941" s="29"/>
    </row>
    <row r="942" ht="21.75" customHeight="1">
      <c r="A942" s="29"/>
      <c r="B942" s="29"/>
      <c r="C942" s="29"/>
      <c r="D942" s="29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29"/>
      <c r="AA942" s="29"/>
      <c r="AB942" s="29"/>
      <c r="AC942" s="29"/>
      <c r="AD942" s="29"/>
      <c r="AE942" s="29"/>
      <c r="AF942" s="29"/>
    </row>
    <row r="943" ht="21.75" customHeight="1">
      <c r="A943" s="29"/>
      <c r="B943" s="29"/>
      <c r="C943" s="29"/>
      <c r="D943" s="29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29"/>
      <c r="AA943" s="29"/>
      <c r="AB943" s="29"/>
      <c r="AC943" s="29"/>
      <c r="AD943" s="29"/>
      <c r="AE943" s="29"/>
      <c r="AF943" s="29"/>
    </row>
    <row r="944" ht="21.75" customHeight="1">
      <c r="A944" s="29"/>
      <c r="B944" s="29"/>
      <c r="C944" s="29"/>
      <c r="D944" s="29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29"/>
      <c r="AA944" s="29"/>
      <c r="AB944" s="29"/>
      <c r="AC944" s="29"/>
      <c r="AD944" s="29"/>
      <c r="AE944" s="29"/>
      <c r="AF944" s="29"/>
    </row>
    <row r="945" ht="21.75" customHeight="1">
      <c r="A945" s="29"/>
      <c r="B945" s="29"/>
      <c r="C945" s="29"/>
      <c r="D945" s="29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29"/>
      <c r="AA945" s="29"/>
      <c r="AB945" s="29"/>
      <c r="AC945" s="29"/>
      <c r="AD945" s="29"/>
      <c r="AE945" s="29"/>
      <c r="AF945" s="29"/>
    </row>
    <row r="946" ht="21.75" customHeight="1">
      <c r="A946" s="29"/>
      <c r="B946" s="29"/>
      <c r="C946" s="29"/>
      <c r="D946" s="29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29"/>
      <c r="AA946" s="29"/>
      <c r="AB946" s="29"/>
      <c r="AC946" s="29"/>
      <c r="AD946" s="29"/>
      <c r="AE946" s="29"/>
      <c r="AF946" s="29"/>
    </row>
    <row r="947" ht="21.75" customHeight="1">
      <c r="A947" s="29"/>
      <c r="B947" s="29"/>
      <c r="C947" s="29"/>
      <c r="D947" s="29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29"/>
      <c r="AA947" s="29"/>
      <c r="AB947" s="29"/>
      <c r="AC947" s="29"/>
      <c r="AD947" s="29"/>
      <c r="AE947" s="29"/>
      <c r="AF947" s="29"/>
    </row>
    <row r="948" ht="21.75" customHeight="1">
      <c r="A948" s="29"/>
      <c r="B948" s="29"/>
      <c r="C948" s="29"/>
      <c r="D948" s="29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29"/>
      <c r="AA948" s="29"/>
      <c r="AB948" s="29"/>
      <c r="AC948" s="29"/>
      <c r="AD948" s="29"/>
      <c r="AE948" s="29"/>
      <c r="AF948" s="29"/>
    </row>
    <row r="949" ht="21.75" customHeight="1">
      <c r="A949" s="29"/>
      <c r="B949" s="29"/>
      <c r="C949" s="29"/>
      <c r="D949" s="29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29"/>
      <c r="AA949" s="29"/>
      <c r="AB949" s="29"/>
      <c r="AC949" s="29"/>
      <c r="AD949" s="29"/>
      <c r="AE949" s="29"/>
      <c r="AF949" s="29"/>
    </row>
    <row r="950" ht="21.75" customHeight="1">
      <c r="A950" s="29"/>
      <c r="B950" s="29"/>
      <c r="C950" s="29"/>
      <c r="D950" s="29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29"/>
      <c r="AA950" s="29"/>
      <c r="AB950" s="29"/>
      <c r="AC950" s="29"/>
      <c r="AD950" s="29"/>
      <c r="AE950" s="29"/>
      <c r="AF950" s="29"/>
    </row>
    <row r="951" ht="21.75" customHeight="1">
      <c r="A951" s="29"/>
      <c r="B951" s="29"/>
      <c r="C951" s="29"/>
      <c r="D951" s="29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29"/>
      <c r="AA951" s="29"/>
      <c r="AB951" s="29"/>
      <c r="AC951" s="29"/>
      <c r="AD951" s="29"/>
      <c r="AE951" s="29"/>
      <c r="AF951" s="29"/>
    </row>
    <row r="952" ht="21.75" customHeight="1">
      <c r="A952" s="29"/>
      <c r="B952" s="29"/>
      <c r="C952" s="29"/>
      <c r="D952" s="29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29"/>
      <c r="AA952" s="29"/>
      <c r="AB952" s="29"/>
      <c r="AC952" s="29"/>
      <c r="AD952" s="29"/>
      <c r="AE952" s="29"/>
      <c r="AF952" s="29"/>
    </row>
    <row r="953" ht="21.75" customHeight="1">
      <c r="A953" s="29"/>
      <c r="B953" s="29"/>
      <c r="C953" s="29"/>
      <c r="D953" s="29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29"/>
      <c r="AA953" s="29"/>
      <c r="AB953" s="29"/>
      <c r="AC953" s="29"/>
      <c r="AD953" s="29"/>
      <c r="AE953" s="29"/>
      <c r="AF953" s="29"/>
    </row>
    <row r="954" ht="21.75" customHeight="1">
      <c r="A954" s="29"/>
      <c r="B954" s="29"/>
      <c r="C954" s="29"/>
      <c r="D954" s="29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29"/>
      <c r="AA954" s="29"/>
      <c r="AB954" s="29"/>
      <c r="AC954" s="29"/>
      <c r="AD954" s="29"/>
      <c r="AE954" s="29"/>
      <c r="AF954" s="29"/>
    </row>
    <row r="955" ht="21.75" customHeight="1">
      <c r="A955" s="29"/>
      <c r="B955" s="29"/>
      <c r="C955" s="29"/>
      <c r="D955" s="29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29"/>
      <c r="AA955" s="29"/>
      <c r="AB955" s="29"/>
      <c r="AC955" s="29"/>
      <c r="AD955" s="29"/>
      <c r="AE955" s="29"/>
      <c r="AF955" s="29"/>
    </row>
    <row r="956" ht="21.75" customHeight="1">
      <c r="A956" s="29"/>
      <c r="B956" s="29"/>
      <c r="C956" s="29"/>
      <c r="D956" s="29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29"/>
      <c r="AA956" s="29"/>
      <c r="AB956" s="29"/>
      <c r="AC956" s="29"/>
      <c r="AD956" s="29"/>
      <c r="AE956" s="29"/>
      <c r="AF956" s="29"/>
    </row>
    <row r="957" ht="21.75" customHeight="1">
      <c r="A957" s="29"/>
      <c r="B957" s="29"/>
      <c r="C957" s="29"/>
      <c r="D957" s="29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29"/>
      <c r="AA957" s="29"/>
      <c r="AB957" s="29"/>
      <c r="AC957" s="29"/>
      <c r="AD957" s="29"/>
      <c r="AE957" s="29"/>
      <c r="AF957" s="29"/>
    </row>
    <row r="958" ht="21.75" customHeight="1">
      <c r="A958" s="29"/>
      <c r="B958" s="29"/>
      <c r="C958" s="29"/>
      <c r="D958" s="29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29"/>
      <c r="AA958" s="29"/>
      <c r="AB958" s="29"/>
      <c r="AC958" s="29"/>
      <c r="AD958" s="29"/>
      <c r="AE958" s="29"/>
      <c r="AF958" s="29"/>
    </row>
    <row r="959" ht="21.75" customHeight="1">
      <c r="A959" s="29"/>
      <c r="B959" s="29"/>
      <c r="C959" s="29"/>
      <c r="D959" s="29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29"/>
      <c r="AA959" s="29"/>
      <c r="AB959" s="29"/>
      <c r="AC959" s="29"/>
      <c r="AD959" s="29"/>
      <c r="AE959" s="29"/>
      <c r="AF959" s="29"/>
    </row>
    <row r="960" ht="21.75" customHeight="1">
      <c r="A960" s="29"/>
      <c r="B960" s="29"/>
      <c r="C960" s="29"/>
      <c r="D960" s="29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29"/>
      <c r="AA960" s="29"/>
      <c r="AB960" s="29"/>
      <c r="AC960" s="29"/>
      <c r="AD960" s="29"/>
      <c r="AE960" s="29"/>
      <c r="AF960" s="29"/>
    </row>
    <row r="961" ht="21.75" customHeight="1">
      <c r="A961" s="29"/>
      <c r="B961" s="29"/>
      <c r="C961" s="29"/>
      <c r="D961" s="29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29"/>
      <c r="AA961" s="29"/>
      <c r="AB961" s="29"/>
      <c r="AC961" s="29"/>
      <c r="AD961" s="29"/>
      <c r="AE961" s="29"/>
      <c r="AF961" s="29"/>
    </row>
    <row r="962" ht="21.75" customHeight="1">
      <c r="A962" s="29"/>
      <c r="B962" s="29"/>
      <c r="C962" s="29"/>
      <c r="D962" s="29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29"/>
      <c r="AA962" s="29"/>
      <c r="AB962" s="29"/>
      <c r="AC962" s="29"/>
      <c r="AD962" s="29"/>
      <c r="AE962" s="29"/>
      <c r="AF962" s="29"/>
    </row>
    <row r="963" ht="21.75" customHeight="1">
      <c r="A963" s="29"/>
      <c r="B963" s="29"/>
      <c r="C963" s="29"/>
      <c r="D963" s="29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29"/>
      <c r="AA963" s="29"/>
      <c r="AB963" s="29"/>
      <c r="AC963" s="29"/>
      <c r="AD963" s="29"/>
      <c r="AE963" s="29"/>
      <c r="AF963" s="29"/>
    </row>
    <row r="964" ht="21.75" customHeight="1">
      <c r="A964" s="29"/>
      <c r="B964" s="29"/>
      <c r="C964" s="29"/>
      <c r="D964" s="29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29"/>
      <c r="AA964" s="29"/>
      <c r="AB964" s="29"/>
      <c r="AC964" s="29"/>
      <c r="AD964" s="29"/>
      <c r="AE964" s="29"/>
      <c r="AF964" s="29"/>
    </row>
    <row r="965" ht="21.75" customHeight="1">
      <c r="A965" s="29"/>
      <c r="B965" s="29"/>
      <c r="C965" s="29"/>
      <c r="D965" s="29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29"/>
      <c r="AA965" s="29"/>
      <c r="AB965" s="29"/>
      <c r="AC965" s="29"/>
      <c r="AD965" s="29"/>
      <c r="AE965" s="29"/>
      <c r="AF965" s="29"/>
    </row>
    <row r="966" ht="21.75" customHeight="1">
      <c r="A966" s="29"/>
      <c r="B966" s="29"/>
      <c r="C966" s="29"/>
      <c r="D966" s="29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29"/>
      <c r="AA966" s="29"/>
      <c r="AB966" s="29"/>
      <c r="AC966" s="29"/>
      <c r="AD966" s="29"/>
      <c r="AE966" s="29"/>
      <c r="AF966" s="29"/>
    </row>
    <row r="967" ht="21.75" customHeight="1">
      <c r="A967" s="29"/>
      <c r="B967" s="29"/>
      <c r="C967" s="29"/>
      <c r="D967" s="29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29"/>
      <c r="AA967" s="29"/>
      <c r="AB967" s="29"/>
      <c r="AC967" s="29"/>
      <c r="AD967" s="29"/>
      <c r="AE967" s="29"/>
      <c r="AF967" s="29"/>
    </row>
    <row r="968" ht="21.75" customHeight="1">
      <c r="A968" s="29"/>
      <c r="B968" s="29"/>
      <c r="C968" s="29"/>
      <c r="D968" s="29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29"/>
      <c r="AA968" s="29"/>
      <c r="AB968" s="29"/>
      <c r="AC968" s="29"/>
      <c r="AD968" s="29"/>
      <c r="AE968" s="29"/>
      <c r="AF968" s="29"/>
    </row>
    <row r="969" ht="21.75" customHeight="1">
      <c r="A969" s="29"/>
      <c r="B969" s="29"/>
      <c r="C969" s="29"/>
      <c r="D969" s="29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29"/>
      <c r="AA969" s="29"/>
      <c r="AB969" s="29"/>
      <c r="AC969" s="29"/>
      <c r="AD969" s="29"/>
      <c r="AE969" s="29"/>
      <c r="AF969" s="29"/>
    </row>
    <row r="970" ht="21.75" customHeight="1">
      <c r="A970" s="29"/>
      <c r="B970" s="29"/>
      <c r="C970" s="29"/>
      <c r="D970" s="29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29"/>
      <c r="AA970" s="29"/>
      <c r="AB970" s="29"/>
      <c r="AC970" s="29"/>
      <c r="AD970" s="29"/>
      <c r="AE970" s="29"/>
      <c r="AF970" s="29"/>
    </row>
    <row r="971" ht="21.75" customHeight="1">
      <c r="A971" s="29"/>
      <c r="B971" s="29"/>
      <c r="C971" s="29"/>
      <c r="D971" s="29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29"/>
      <c r="AA971" s="29"/>
      <c r="AB971" s="29"/>
      <c r="AC971" s="29"/>
      <c r="AD971" s="29"/>
      <c r="AE971" s="29"/>
      <c r="AF971" s="29"/>
    </row>
    <row r="972" ht="21.75" customHeight="1">
      <c r="A972" s="29"/>
      <c r="B972" s="29"/>
      <c r="C972" s="29"/>
      <c r="D972" s="29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29"/>
      <c r="AA972" s="29"/>
      <c r="AB972" s="29"/>
      <c r="AC972" s="29"/>
      <c r="AD972" s="29"/>
      <c r="AE972" s="29"/>
      <c r="AF972" s="29"/>
    </row>
    <row r="973" ht="21.75" customHeight="1">
      <c r="A973" s="29"/>
      <c r="B973" s="29"/>
      <c r="C973" s="29"/>
      <c r="D973" s="29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29"/>
      <c r="AA973" s="29"/>
      <c r="AB973" s="29"/>
      <c r="AC973" s="29"/>
      <c r="AD973" s="29"/>
      <c r="AE973" s="29"/>
      <c r="AF973" s="29"/>
    </row>
    <row r="974" ht="21.75" customHeight="1">
      <c r="A974" s="29"/>
      <c r="B974" s="29"/>
      <c r="C974" s="29"/>
      <c r="D974" s="29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29"/>
      <c r="AA974" s="29"/>
      <c r="AB974" s="29"/>
      <c r="AC974" s="29"/>
      <c r="AD974" s="29"/>
      <c r="AE974" s="29"/>
      <c r="AF974" s="29"/>
    </row>
    <row r="975" ht="21.75" customHeight="1">
      <c r="A975" s="29"/>
      <c r="B975" s="29"/>
      <c r="C975" s="29"/>
      <c r="D975" s="29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29"/>
      <c r="AA975" s="29"/>
      <c r="AB975" s="29"/>
      <c r="AC975" s="29"/>
      <c r="AD975" s="29"/>
      <c r="AE975" s="29"/>
      <c r="AF975" s="29"/>
    </row>
    <row r="976" ht="21.75" customHeight="1">
      <c r="A976" s="29"/>
      <c r="B976" s="29"/>
      <c r="C976" s="29"/>
      <c r="D976" s="29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29"/>
      <c r="AA976" s="29"/>
      <c r="AB976" s="29"/>
      <c r="AC976" s="29"/>
      <c r="AD976" s="29"/>
      <c r="AE976" s="29"/>
      <c r="AF976" s="29"/>
    </row>
    <row r="977" ht="21.75" customHeight="1">
      <c r="A977" s="29"/>
      <c r="B977" s="29"/>
      <c r="C977" s="29"/>
      <c r="D977" s="29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29"/>
      <c r="AA977" s="29"/>
      <c r="AB977" s="29"/>
      <c r="AC977" s="29"/>
      <c r="AD977" s="29"/>
      <c r="AE977" s="29"/>
      <c r="AF977" s="29"/>
    </row>
    <row r="978" ht="21.75" customHeight="1">
      <c r="A978" s="29"/>
      <c r="B978" s="29"/>
      <c r="C978" s="29"/>
      <c r="D978" s="29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29"/>
      <c r="AA978" s="29"/>
      <c r="AB978" s="29"/>
      <c r="AC978" s="29"/>
      <c r="AD978" s="29"/>
      <c r="AE978" s="29"/>
      <c r="AF978" s="29"/>
    </row>
    <row r="979" ht="21.75" customHeight="1">
      <c r="A979" s="29"/>
      <c r="B979" s="29"/>
      <c r="C979" s="29"/>
      <c r="D979" s="29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29"/>
      <c r="AA979" s="29"/>
      <c r="AB979" s="29"/>
      <c r="AC979" s="29"/>
      <c r="AD979" s="29"/>
      <c r="AE979" s="29"/>
      <c r="AF979" s="29"/>
    </row>
    <row r="980" ht="21.75" customHeight="1">
      <c r="A980" s="29"/>
      <c r="B980" s="29"/>
      <c r="C980" s="29"/>
      <c r="D980" s="29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29"/>
      <c r="AA980" s="29"/>
      <c r="AB980" s="29"/>
      <c r="AC980" s="29"/>
      <c r="AD980" s="29"/>
      <c r="AE980" s="29"/>
      <c r="AF980" s="29"/>
    </row>
    <row r="981" ht="21.75" customHeight="1">
      <c r="A981" s="29"/>
      <c r="B981" s="29"/>
      <c r="C981" s="29"/>
      <c r="D981" s="29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29"/>
      <c r="AA981" s="29"/>
      <c r="AB981" s="29"/>
      <c r="AC981" s="29"/>
      <c r="AD981" s="29"/>
      <c r="AE981" s="29"/>
      <c r="AF981" s="29"/>
    </row>
    <row r="982" ht="21.75" customHeight="1">
      <c r="A982" s="29"/>
      <c r="B982" s="29"/>
      <c r="C982" s="29"/>
      <c r="D982" s="29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29"/>
      <c r="AA982" s="29"/>
      <c r="AB982" s="29"/>
      <c r="AC982" s="29"/>
      <c r="AD982" s="29"/>
      <c r="AE982" s="29"/>
      <c r="AF982" s="29"/>
    </row>
    <row r="983" ht="21.75" customHeight="1">
      <c r="A983" s="29"/>
      <c r="B983" s="29"/>
      <c r="C983" s="29"/>
      <c r="D983" s="29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29"/>
      <c r="AA983" s="29"/>
      <c r="AB983" s="29"/>
      <c r="AC983" s="29"/>
      <c r="AD983" s="29"/>
      <c r="AE983" s="29"/>
      <c r="AF983" s="29"/>
    </row>
    <row r="984" ht="21.75" customHeight="1">
      <c r="A984" s="29"/>
      <c r="B984" s="29"/>
      <c r="C984" s="29"/>
      <c r="D984" s="29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29"/>
      <c r="AA984" s="29"/>
      <c r="AB984" s="29"/>
      <c r="AC984" s="29"/>
      <c r="AD984" s="29"/>
      <c r="AE984" s="29"/>
      <c r="AF984" s="29"/>
    </row>
    <row r="985" ht="21.75" customHeight="1">
      <c r="A985" s="29"/>
      <c r="B985" s="29"/>
      <c r="C985" s="29"/>
      <c r="D985" s="29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29"/>
      <c r="AA985" s="29"/>
      <c r="AB985" s="29"/>
      <c r="AC985" s="29"/>
      <c r="AD985" s="29"/>
      <c r="AE985" s="29"/>
      <c r="AF985" s="29"/>
    </row>
    <row r="986" ht="21.75" customHeight="1">
      <c r="A986" s="29"/>
      <c r="B986" s="29"/>
      <c r="C986" s="29"/>
      <c r="D986" s="29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29"/>
      <c r="AA986" s="29"/>
      <c r="AB986" s="29"/>
      <c r="AC986" s="29"/>
      <c r="AD986" s="29"/>
      <c r="AE986" s="29"/>
      <c r="AF986" s="29"/>
    </row>
    <row r="987" ht="21.75" customHeight="1">
      <c r="A987" s="29"/>
      <c r="B987" s="29"/>
      <c r="C987" s="29"/>
      <c r="D987" s="29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29"/>
      <c r="AA987" s="29"/>
      <c r="AB987" s="29"/>
      <c r="AC987" s="29"/>
      <c r="AD987" s="29"/>
      <c r="AE987" s="29"/>
      <c r="AF987" s="29"/>
    </row>
    <row r="988" ht="21.75" customHeight="1">
      <c r="A988" s="29"/>
      <c r="B988" s="29"/>
      <c r="C988" s="29"/>
      <c r="D988" s="29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29"/>
      <c r="AA988" s="29"/>
      <c r="AB988" s="29"/>
      <c r="AC988" s="29"/>
      <c r="AD988" s="29"/>
      <c r="AE988" s="29"/>
      <c r="AF988" s="29"/>
    </row>
    <row r="989" ht="21.75" customHeight="1">
      <c r="A989" s="29"/>
      <c r="B989" s="29"/>
      <c r="C989" s="29"/>
      <c r="D989" s="29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29"/>
      <c r="AA989" s="29"/>
      <c r="AB989" s="29"/>
      <c r="AC989" s="29"/>
      <c r="AD989" s="29"/>
      <c r="AE989" s="29"/>
      <c r="AF989" s="29"/>
    </row>
    <row r="990" ht="21.75" customHeight="1">
      <c r="A990" s="29"/>
      <c r="B990" s="29"/>
      <c r="C990" s="29"/>
      <c r="D990" s="29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29"/>
      <c r="AA990" s="29"/>
      <c r="AB990" s="29"/>
      <c r="AC990" s="29"/>
      <c r="AD990" s="29"/>
      <c r="AE990" s="29"/>
      <c r="AF990" s="29"/>
    </row>
    <row r="991" ht="21.75" customHeight="1">
      <c r="A991" s="29"/>
      <c r="B991" s="29"/>
      <c r="C991" s="29"/>
      <c r="D991" s="29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29"/>
      <c r="AA991" s="29"/>
      <c r="AB991" s="29"/>
      <c r="AC991" s="29"/>
      <c r="AD991" s="29"/>
      <c r="AE991" s="29"/>
      <c r="AF991" s="29"/>
    </row>
    <row r="992" ht="21.75" customHeight="1">
      <c r="A992" s="29"/>
      <c r="B992" s="29"/>
      <c r="C992" s="29"/>
      <c r="D992" s="29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29"/>
      <c r="AA992" s="29"/>
      <c r="AB992" s="29"/>
      <c r="AC992" s="29"/>
      <c r="AD992" s="29"/>
      <c r="AE992" s="29"/>
      <c r="AF992" s="29"/>
    </row>
    <row r="993" ht="21.75" customHeight="1">
      <c r="A993" s="29"/>
      <c r="B993" s="29"/>
      <c r="C993" s="29"/>
      <c r="D993" s="29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29"/>
      <c r="AA993" s="29"/>
      <c r="AB993" s="29"/>
      <c r="AC993" s="29"/>
      <c r="AD993" s="29"/>
      <c r="AE993" s="29"/>
      <c r="AF993" s="29"/>
    </row>
    <row r="994" ht="21.75" customHeight="1">
      <c r="A994" s="29"/>
      <c r="B994" s="29"/>
      <c r="C994" s="29"/>
      <c r="D994" s="29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29"/>
      <c r="AA994" s="29"/>
      <c r="AB994" s="29"/>
      <c r="AC994" s="29"/>
      <c r="AD994" s="29"/>
      <c r="AE994" s="29"/>
      <c r="AF994" s="29"/>
    </row>
    <row r="995" ht="21.75" customHeight="1">
      <c r="A995" s="29"/>
      <c r="B995" s="29"/>
      <c r="C995" s="29"/>
      <c r="D995" s="29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29"/>
      <c r="AA995" s="29"/>
      <c r="AB995" s="29"/>
      <c r="AC995" s="29"/>
      <c r="AD995" s="29"/>
      <c r="AE995" s="29"/>
      <c r="AF995" s="29"/>
    </row>
    <row r="996" ht="21.75" customHeight="1">
      <c r="A996" s="29"/>
      <c r="B996" s="29"/>
      <c r="C996" s="29"/>
      <c r="D996" s="29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29"/>
      <c r="AA996" s="29"/>
      <c r="AB996" s="29"/>
      <c r="AC996" s="29"/>
      <c r="AD996" s="29"/>
      <c r="AE996" s="29"/>
      <c r="AF996" s="29"/>
    </row>
    <row r="997" ht="21.75" customHeight="1">
      <c r="A997" s="29"/>
      <c r="B997" s="29"/>
      <c r="C997" s="29"/>
      <c r="D997" s="29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29"/>
      <c r="AA997" s="29"/>
      <c r="AB997" s="29"/>
      <c r="AC997" s="29"/>
      <c r="AD997" s="29"/>
      <c r="AE997" s="29"/>
      <c r="AF997" s="29"/>
    </row>
    <row r="998" ht="21.75" customHeight="1">
      <c r="A998" s="29"/>
      <c r="B998" s="29"/>
      <c r="C998" s="29"/>
      <c r="D998" s="29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29"/>
      <c r="AA998" s="29"/>
      <c r="AB998" s="29"/>
      <c r="AC998" s="29"/>
      <c r="AD998" s="29"/>
      <c r="AE998" s="29"/>
      <c r="AF998" s="29"/>
    </row>
    <row r="999" ht="21.75" customHeight="1">
      <c r="A999" s="29"/>
      <c r="B999" s="29"/>
      <c r="C999" s="29"/>
      <c r="D999" s="29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29"/>
      <c r="AA999" s="29"/>
      <c r="AB999" s="29"/>
      <c r="AC999" s="29"/>
      <c r="AD999" s="29"/>
      <c r="AE999" s="29"/>
      <c r="AF999" s="29"/>
    </row>
    <row r="1000" ht="21.75" customHeight="1">
      <c r="A1000" s="29"/>
      <c r="B1000" s="29"/>
      <c r="C1000" s="29"/>
      <c r="D1000" s="29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29"/>
      <c r="AA1000" s="29"/>
      <c r="AB1000" s="29"/>
      <c r="AC1000" s="29"/>
      <c r="AD1000" s="29"/>
      <c r="AE1000" s="29"/>
      <c r="AF1000" s="29"/>
    </row>
  </sheetData>
  <mergeCells count="56">
    <mergeCell ref="A131:A135"/>
    <mergeCell ref="J131:J135"/>
    <mergeCell ref="K131:X131"/>
    <mergeCell ref="AE131:AE136"/>
    <mergeCell ref="B132:I135"/>
    <mergeCell ref="K132:X132"/>
    <mergeCell ref="K133:X133"/>
    <mergeCell ref="K140:X140"/>
    <mergeCell ref="K141:X141"/>
    <mergeCell ref="B142:H142"/>
    <mergeCell ref="J142:Y142"/>
    <mergeCell ref="B136:H136"/>
    <mergeCell ref="J136:Y136"/>
    <mergeCell ref="A137:A141"/>
    <mergeCell ref="J137:J141"/>
    <mergeCell ref="K137:X137"/>
    <mergeCell ref="AE137:AE142"/>
    <mergeCell ref="B138:I141"/>
    <mergeCell ref="I5:M5"/>
    <mergeCell ref="N5:Y5"/>
    <mergeCell ref="M6:Y6"/>
    <mergeCell ref="Z6:AA6"/>
    <mergeCell ref="AB6:AC6"/>
    <mergeCell ref="AD6:AE6"/>
    <mergeCell ref="A1:B3"/>
    <mergeCell ref="G1:M1"/>
    <mergeCell ref="Y1:AE2"/>
    <mergeCell ref="G2:M2"/>
    <mergeCell ref="G3:AE3"/>
    <mergeCell ref="A4:AE4"/>
    <mergeCell ref="A5:B5"/>
    <mergeCell ref="Z5:AE5"/>
    <mergeCell ref="E7:I7"/>
    <mergeCell ref="J7:N7"/>
    <mergeCell ref="O7:S7"/>
    <mergeCell ref="T7:X7"/>
    <mergeCell ref="Z7:AE7"/>
    <mergeCell ref="A8:A10"/>
    <mergeCell ref="B8:B10"/>
    <mergeCell ref="C8:C9"/>
    <mergeCell ref="D8:D9"/>
    <mergeCell ref="E8:H8"/>
    <mergeCell ref="J8:M8"/>
    <mergeCell ref="O8:R8"/>
    <mergeCell ref="T8:W8"/>
    <mergeCell ref="C5:F5"/>
    <mergeCell ref="G5:H5"/>
    <mergeCell ref="A6:B6"/>
    <mergeCell ref="E6:F6"/>
    <mergeCell ref="G6:H6"/>
    <mergeCell ref="I6:J6"/>
    <mergeCell ref="K6:L6"/>
    <mergeCell ref="K134:X134"/>
    <mergeCell ref="K135:X135"/>
    <mergeCell ref="K138:X138"/>
    <mergeCell ref="K139:X139"/>
  </mergeCells>
  <printOptions/>
  <pageMargins bottom="0.43" footer="0.0" header="0.0" left="0.24" right="0.18" top="0.38"/>
  <pageSetup fitToHeight="0" paperSize="9" orientation="portrait"/>
  <headerFooter>
    <oddFooter>&amp;CPage &amp;P of &amp;RFILE PREPARED BY DILIP SISODIA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7" width="16.71"/>
    <col customWidth="1" min="18" max="26" width="8.71"/>
  </cols>
  <sheetData>
    <row r="1">
      <c r="A1" s="178" t="str">
        <f>IF(CO_ATTAINMENT!A4="","",CO_ATTAINMENT!A4)</f>
        <v>TEZPUR UNIVERSITY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  <c r="Q1" s="179"/>
    </row>
    <row r="2">
      <c r="A2" s="180" t="s">
        <v>5</v>
      </c>
      <c r="B2" s="27"/>
      <c r="C2" s="27"/>
      <c r="D2" s="27"/>
      <c r="E2" s="28"/>
      <c r="F2" s="181" t="str">
        <f>IF(CO_ATTAINMENT!C5="","",CO_ATTAINMENT!C5)</f>
        <v>Dr S. S. Satapathy</v>
      </c>
      <c r="G2" s="139"/>
      <c r="H2" s="139"/>
      <c r="I2" s="139"/>
      <c r="J2" s="139"/>
      <c r="K2" s="139"/>
      <c r="L2" s="139"/>
      <c r="M2" s="139"/>
      <c r="N2" s="139"/>
      <c r="O2" s="139"/>
      <c r="P2" s="140"/>
      <c r="Q2" s="179"/>
    </row>
    <row r="3">
      <c r="A3" s="182" t="s">
        <v>196</v>
      </c>
      <c r="B3" s="183"/>
      <c r="C3" s="184" t="str">
        <f>IF(CO_ATTAINMENT!I5="","",CO_ATTAINMENT!I5)</f>
        <v>Mechanical Engineering</v>
      </c>
      <c r="D3" s="49"/>
      <c r="E3" s="49"/>
      <c r="F3" s="49"/>
      <c r="G3" s="49"/>
      <c r="H3" s="49"/>
      <c r="I3" s="49"/>
      <c r="J3" s="49"/>
      <c r="K3" s="49"/>
      <c r="L3" s="50"/>
      <c r="M3" s="185" t="s">
        <v>197</v>
      </c>
      <c r="N3" s="50"/>
      <c r="O3" s="184" t="str">
        <f>IF(CO_ATTAINMENT!AD6="","",CO_ATTAINMENT!AD6)</f>
        <v>2021-22</v>
      </c>
      <c r="P3" s="50"/>
      <c r="Q3" s="179"/>
    </row>
    <row r="4">
      <c r="A4" s="182" t="s">
        <v>11</v>
      </c>
      <c r="B4" s="183"/>
      <c r="C4" s="184" t="str">
        <f>IF(CO_ATTAINMENT!C6="","",CO_ATTAINMENT!C6)</f>
        <v>B. Tech</v>
      </c>
      <c r="D4" s="49"/>
      <c r="E4" s="49"/>
      <c r="F4" s="50"/>
      <c r="G4" s="185" t="s">
        <v>198</v>
      </c>
      <c r="H4" s="50"/>
      <c r="I4" s="184" t="str">
        <f>IF(CO_ATTAINMENT!G6="","",CO_ATTAINMENT!G6)</f>
        <v>I</v>
      </c>
      <c r="J4" s="49"/>
      <c r="K4" s="49"/>
      <c r="L4" s="50"/>
      <c r="M4" s="185" t="s">
        <v>199</v>
      </c>
      <c r="N4" s="50"/>
      <c r="O4" s="184" t="str">
        <f>IF(CO_ATTAINMENT!K6="","",CO_ATTAINMENT!K6)</f>
        <v>II</v>
      </c>
      <c r="P4" s="50"/>
      <c r="Q4" s="179"/>
    </row>
    <row r="5">
      <c r="A5" s="182" t="s">
        <v>187</v>
      </c>
      <c r="B5" s="183"/>
      <c r="C5" s="186" t="str">
        <f>IF(CO_ATTAINMENT!Z5="","",CO_ATTAINMENT!Z5)</f>
        <v>Introductory Computing</v>
      </c>
      <c r="D5" s="49"/>
      <c r="E5" s="49"/>
      <c r="F5" s="49"/>
      <c r="G5" s="49"/>
      <c r="H5" s="49"/>
      <c r="I5" s="49"/>
      <c r="J5" s="49"/>
      <c r="K5" s="50"/>
      <c r="L5" s="187" t="s">
        <v>200</v>
      </c>
      <c r="M5" s="49"/>
      <c r="N5" s="50"/>
      <c r="O5" s="184" t="str">
        <f>IF(CO_ATTAINMENT!Z6="","",CO_ATTAINMENT!Z6)</f>
        <v>CO103</v>
      </c>
      <c r="P5" s="50"/>
      <c r="Q5" s="179"/>
    </row>
    <row r="6" ht="23.25" customHeight="1">
      <c r="A6" s="188" t="s">
        <v>201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5.0" customHeight="1">
      <c r="A7" s="189" t="s">
        <v>202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>
      <c r="A8" s="143"/>
      <c r="B8" s="143" t="s">
        <v>168</v>
      </c>
      <c r="C8" s="143" t="s">
        <v>169</v>
      </c>
      <c r="D8" s="143" t="s">
        <v>170</v>
      </c>
      <c r="E8" s="143" t="s">
        <v>171</v>
      </c>
      <c r="F8" s="143" t="s">
        <v>172</v>
      </c>
      <c r="G8" s="143" t="s">
        <v>173</v>
      </c>
      <c r="H8" s="143" t="s">
        <v>174</v>
      </c>
      <c r="I8" s="143" t="s">
        <v>175</v>
      </c>
      <c r="J8" s="143" t="s">
        <v>176</v>
      </c>
      <c r="K8" s="143" t="s">
        <v>177</v>
      </c>
      <c r="L8" s="143" t="s">
        <v>178</v>
      </c>
      <c r="M8" s="143" t="s">
        <v>179</v>
      </c>
      <c r="N8" s="143" t="s">
        <v>180</v>
      </c>
      <c r="O8" s="143" t="s">
        <v>181</v>
      </c>
      <c r="P8" s="143" t="s">
        <v>182</v>
      </c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>
      <c r="A9" s="143" t="s">
        <v>31</v>
      </c>
      <c r="B9" s="149">
        <f>IF('INTERACTION-PAGE'!E137="","",'INTERACTION-PAGE'!E137)</f>
        <v>2</v>
      </c>
      <c r="C9" s="149">
        <f>IF('INTERACTION-PAGE'!F137="","",'INTERACTION-PAGE'!F137)</f>
        <v>2</v>
      </c>
      <c r="D9" s="149" t="str">
        <f>IF('INTERACTION-PAGE'!G137="","",'INTERACTION-PAGE'!G137)</f>
        <v>-</v>
      </c>
      <c r="E9" s="149" t="str">
        <f>IF('INTERACTION-PAGE'!H137="","",'INTERACTION-PAGE'!H137)</f>
        <v>-</v>
      </c>
      <c r="F9" s="149">
        <f>IF('INTERACTION-PAGE'!I137="","",'INTERACTION-PAGE'!I137)</f>
        <v>1</v>
      </c>
      <c r="G9" s="149" t="str">
        <f>IF('INTERACTION-PAGE'!J137="","",'INTERACTION-PAGE'!J137)</f>
        <v>-</v>
      </c>
      <c r="H9" s="149" t="str">
        <f>IF('INTERACTION-PAGE'!K137="","",'INTERACTION-PAGE'!K137)</f>
        <v>-</v>
      </c>
      <c r="I9" s="149" t="str">
        <f>IF('INTERACTION-PAGE'!L137="","",'INTERACTION-PAGE'!L137)</f>
        <v>-</v>
      </c>
      <c r="J9" s="149" t="str">
        <f>IF('INTERACTION-PAGE'!M137="","",'INTERACTION-PAGE'!M137)</f>
        <v>-</v>
      </c>
      <c r="K9" s="149" t="str">
        <f>IF('INTERACTION-PAGE'!N137="","",'INTERACTION-PAGE'!N137)</f>
        <v>-</v>
      </c>
      <c r="L9" s="149">
        <f>IF('INTERACTION-PAGE'!O137="","",'INTERACTION-PAGE'!O137)</f>
        <v>1</v>
      </c>
      <c r="M9" s="149">
        <f>IF('INTERACTION-PAGE'!P137="","",'INTERACTION-PAGE'!P137)</f>
        <v>1</v>
      </c>
      <c r="N9" s="149">
        <f>IF('INTERACTION-PAGE'!Q137="","",'INTERACTION-PAGE'!Q137)</f>
        <v>1</v>
      </c>
      <c r="O9" s="149" t="str">
        <f>IF('INTERACTION-PAGE'!R137="","",'INTERACTION-PAGE'!R137)</f>
        <v>-</v>
      </c>
      <c r="P9" s="149">
        <f>IF('INTERACTION-PAGE'!S137="","",'INTERACTION-PAGE'!S137)</f>
        <v>1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>
      <c r="A10" s="143" t="s">
        <v>32</v>
      </c>
      <c r="B10" s="149">
        <f>IF('INTERACTION-PAGE'!E138="","",'INTERACTION-PAGE'!E138)</f>
        <v>2</v>
      </c>
      <c r="C10" s="149">
        <f>IF('INTERACTION-PAGE'!F138="","",'INTERACTION-PAGE'!F138)</f>
        <v>3</v>
      </c>
      <c r="D10" s="149">
        <f>IF('INTERACTION-PAGE'!G138="","",'INTERACTION-PAGE'!G138)</f>
        <v>2</v>
      </c>
      <c r="E10" s="149">
        <f>IF('INTERACTION-PAGE'!H138="","",'INTERACTION-PAGE'!H138)</f>
        <v>1</v>
      </c>
      <c r="F10" s="149">
        <f>IF('INTERACTION-PAGE'!I138="","",'INTERACTION-PAGE'!I138)</f>
        <v>1</v>
      </c>
      <c r="G10" s="149" t="str">
        <f>IF('INTERACTION-PAGE'!J138="","",'INTERACTION-PAGE'!J138)</f>
        <v>-</v>
      </c>
      <c r="H10" s="149" t="str">
        <f>IF('INTERACTION-PAGE'!K138="","",'INTERACTION-PAGE'!K138)</f>
        <v>-</v>
      </c>
      <c r="I10" s="149" t="str">
        <f>IF('INTERACTION-PAGE'!L138="","",'INTERACTION-PAGE'!L138)</f>
        <v>-</v>
      </c>
      <c r="J10" s="149" t="str">
        <f>IF('INTERACTION-PAGE'!M138="","",'INTERACTION-PAGE'!M138)</f>
        <v>-</v>
      </c>
      <c r="K10" s="149">
        <f>IF('INTERACTION-PAGE'!N138="","",'INTERACTION-PAGE'!N138)</f>
        <v>1</v>
      </c>
      <c r="L10" s="149" t="str">
        <f>IF('INTERACTION-PAGE'!O138="","",'INTERACTION-PAGE'!O138)</f>
        <v>-</v>
      </c>
      <c r="M10" s="149">
        <f>IF('INTERACTION-PAGE'!P138="","",'INTERACTION-PAGE'!P138)</f>
        <v>1</v>
      </c>
      <c r="N10" s="149">
        <f>IF('INTERACTION-PAGE'!Q138="","",'INTERACTION-PAGE'!Q138)</f>
        <v>1</v>
      </c>
      <c r="O10" s="149" t="str">
        <f>IF('INTERACTION-PAGE'!R138="","",'INTERACTION-PAGE'!R138)</f>
        <v>-</v>
      </c>
      <c r="P10" s="149">
        <f>IF('INTERACTION-PAGE'!S138="","",'INTERACTION-PAGE'!S138)</f>
        <v>1</v>
      </c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>
      <c r="A11" s="143" t="s">
        <v>33</v>
      </c>
      <c r="B11" s="149">
        <f>IF('INTERACTION-PAGE'!E139="","",'INTERACTION-PAGE'!E139)</f>
        <v>1</v>
      </c>
      <c r="C11" s="149">
        <f>IF('INTERACTION-PAGE'!F139="","",'INTERACTION-PAGE'!F139)</f>
        <v>1</v>
      </c>
      <c r="D11" s="149">
        <f>IF('INTERACTION-PAGE'!G139="","",'INTERACTION-PAGE'!G139)</f>
        <v>2</v>
      </c>
      <c r="E11" s="149" t="str">
        <f>IF('INTERACTION-PAGE'!H139="","",'INTERACTION-PAGE'!H139)</f>
        <v>-</v>
      </c>
      <c r="F11" s="149">
        <f>IF('INTERACTION-PAGE'!I139="","",'INTERACTION-PAGE'!I139)</f>
        <v>1</v>
      </c>
      <c r="G11" s="149">
        <f>IF('INTERACTION-PAGE'!J139="","",'INTERACTION-PAGE'!J139)</f>
        <v>1</v>
      </c>
      <c r="H11" s="149" t="str">
        <f>IF('INTERACTION-PAGE'!K139="","",'INTERACTION-PAGE'!K139)</f>
        <v>-</v>
      </c>
      <c r="I11" s="149">
        <f>IF('INTERACTION-PAGE'!L139="","",'INTERACTION-PAGE'!L139)</f>
        <v>1</v>
      </c>
      <c r="J11" s="149" t="str">
        <f>IF('INTERACTION-PAGE'!M139="","",'INTERACTION-PAGE'!M139)</f>
        <v>-</v>
      </c>
      <c r="K11" s="149" t="str">
        <f>IF('INTERACTION-PAGE'!N139="","",'INTERACTION-PAGE'!N139)</f>
        <v>-</v>
      </c>
      <c r="L11" s="149" t="str">
        <f>IF('INTERACTION-PAGE'!O139="","",'INTERACTION-PAGE'!O139)</f>
        <v>-</v>
      </c>
      <c r="M11" s="149">
        <f>IF('INTERACTION-PAGE'!P139="","",'INTERACTION-PAGE'!P139)</f>
        <v>1</v>
      </c>
      <c r="N11" s="149">
        <f>IF('INTERACTION-PAGE'!Q139="","",'INTERACTION-PAGE'!Q139)</f>
        <v>2</v>
      </c>
      <c r="O11" s="149">
        <f>IF('INTERACTION-PAGE'!R139="","",'INTERACTION-PAGE'!R139)</f>
        <v>1</v>
      </c>
      <c r="P11" s="149">
        <f>IF('INTERACTION-PAGE'!S139="","",'INTERACTION-PAGE'!S139)</f>
        <v>1</v>
      </c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43" t="s">
        <v>34</v>
      </c>
      <c r="B12" s="149">
        <f>IF('INTERACTION-PAGE'!E140="","",'INTERACTION-PAGE'!E140)</f>
        <v>1</v>
      </c>
      <c r="C12" s="149">
        <f>IF('INTERACTION-PAGE'!F140="","",'INTERACTION-PAGE'!F140)</f>
        <v>1</v>
      </c>
      <c r="D12" s="149">
        <f>IF('INTERACTION-PAGE'!G140="","",'INTERACTION-PAGE'!G140)</f>
        <v>2</v>
      </c>
      <c r="E12" s="149">
        <f>IF('INTERACTION-PAGE'!H140="","",'INTERACTION-PAGE'!H140)</f>
        <v>1</v>
      </c>
      <c r="F12" s="149">
        <f>IF('INTERACTION-PAGE'!I140="","",'INTERACTION-PAGE'!I140)</f>
        <v>1</v>
      </c>
      <c r="G12" s="149">
        <f>IF('INTERACTION-PAGE'!J140="","",'INTERACTION-PAGE'!J140)</f>
        <v>1</v>
      </c>
      <c r="H12" s="149" t="str">
        <f>IF('INTERACTION-PAGE'!K140="","",'INTERACTION-PAGE'!K140)</f>
        <v>-</v>
      </c>
      <c r="I12" s="149">
        <f>IF('INTERACTION-PAGE'!L140="","",'INTERACTION-PAGE'!L140)</f>
        <v>1</v>
      </c>
      <c r="J12" s="149" t="str">
        <f>IF('INTERACTION-PAGE'!M140="","",'INTERACTION-PAGE'!M140)</f>
        <v>-</v>
      </c>
      <c r="K12" s="149">
        <f>IF('INTERACTION-PAGE'!N140="","",'INTERACTION-PAGE'!N140)</f>
        <v>1</v>
      </c>
      <c r="L12" s="149">
        <f>IF('INTERACTION-PAGE'!O140="","",'INTERACTION-PAGE'!O140)</f>
        <v>1</v>
      </c>
      <c r="M12" s="149">
        <f>IF('INTERACTION-PAGE'!P140="","",'INTERACTION-PAGE'!P140)</f>
        <v>1</v>
      </c>
      <c r="N12" s="149">
        <f>IF('INTERACTION-PAGE'!Q140="","",'INTERACTION-PAGE'!Q140)</f>
        <v>2</v>
      </c>
      <c r="O12" s="149">
        <f>IF('INTERACTION-PAGE'!R140="","",'INTERACTION-PAGE'!R140)</f>
        <v>1</v>
      </c>
      <c r="P12" s="149">
        <f>IF('INTERACTION-PAGE'!S140="","",'INTERACTION-PAGE'!S140)</f>
        <v>1</v>
      </c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143" t="s">
        <v>35</v>
      </c>
      <c r="B13" s="149" t="str">
        <f>IF('INTERACTION-PAGE'!E141="","",'INTERACTION-PAGE'!E141)</f>
        <v>-</v>
      </c>
      <c r="C13" s="149" t="str">
        <f>IF('INTERACTION-PAGE'!F141="","",'INTERACTION-PAGE'!F141)</f>
        <v>-</v>
      </c>
      <c r="D13" s="149" t="str">
        <f>IF('INTERACTION-PAGE'!G141="","",'INTERACTION-PAGE'!G141)</f>
        <v>-</v>
      </c>
      <c r="E13" s="149" t="str">
        <f>IF('INTERACTION-PAGE'!H141="","",'INTERACTION-PAGE'!H141)</f>
        <v>-</v>
      </c>
      <c r="F13" s="149" t="str">
        <f>IF('INTERACTION-PAGE'!I141="","",'INTERACTION-PAGE'!I141)</f>
        <v>-</v>
      </c>
      <c r="G13" s="149" t="str">
        <f>IF('INTERACTION-PAGE'!J141="","",'INTERACTION-PAGE'!J141)</f>
        <v>-</v>
      </c>
      <c r="H13" s="149" t="str">
        <f>IF('INTERACTION-PAGE'!K141="","",'INTERACTION-PAGE'!K141)</f>
        <v>-</v>
      </c>
      <c r="I13" s="149" t="str">
        <f>IF('INTERACTION-PAGE'!L141="","",'INTERACTION-PAGE'!L141)</f>
        <v>-</v>
      </c>
      <c r="J13" s="149" t="str">
        <f>IF('INTERACTION-PAGE'!M141="","",'INTERACTION-PAGE'!M141)</f>
        <v>-</v>
      </c>
      <c r="K13" s="149" t="str">
        <f>IF('INTERACTION-PAGE'!N141="","",'INTERACTION-PAGE'!N141)</f>
        <v>-</v>
      </c>
      <c r="L13" s="149" t="str">
        <f>IF('INTERACTION-PAGE'!O141="","",'INTERACTION-PAGE'!O141)</f>
        <v>-</v>
      </c>
      <c r="M13" s="149" t="str">
        <f>IF('INTERACTION-PAGE'!P141="","",'INTERACTION-PAGE'!P141)</f>
        <v>-</v>
      </c>
      <c r="N13" s="149" t="str">
        <f>IF('INTERACTION-PAGE'!Q141="","",'INTERACTION-PAGE'!Q141)</f>
        <v>-</v>
      </c>
      <c r="O13" s="149" t="str">
        <f>IF('INTERACTION-PAGE'!R141="","",'INTERACTION-PAGE'!R141)</f>
        <v>-</v>
      </c>
      <c r="P13" s="149" t="str">
        <f>IF('INTERACTION-PAGE'!S141="","",'INTERACTION-PAGE'!S141)</f>
        <v>-</v>
      </c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>
      <c r="A14" s="190" t="s">
        <v>203</v>
      </c>
      <c r="B14" s="191">
        <f t="shared" ref="B14:P14" si="1">IFERROR(SUMIF(B9:B13,"&gt;0"),"")</f>
        <v>6</v>
      </c>
      <c r="C14" s="191">
        <f t="shared" si="1"/>
        <v>7</v>
      </c>
      <c r="D14" s="191">
        <f t="shared" si="1"/>
        <v>6</v>
      </c>
      <c r="E14" s="191">
        <f t="shared" si="1"/>
        <v>2</v>
      </c>
      <c r="F14" s="191">
        <f t="shared" si="1"/>
        <v>4</v>
      </c>
      <c r="G14" s="191">
        <f t="shared" si="1"/>
        <v>2</v>
      </c>
      <c r="H14" s="191">
        <f t="shared" si="1"/>
        <v>0</v>
      </c>
      <c r="I14" s="191">
        <f t="shared" si="1"/>
        <v>2</v>
      </c>
      <c r="J14" s="191">
        <f t="shared" si="1"/>
        <v>0</v>
      </c>
      <c r="K14" s="191">
        <f t="shared" si="1"/>
        <v>2</v>
      </c>
      <c r="L14" s="191">
        <f t="shared" si="1"/>
        <v>2</v>
      </c>
      <c r="M14" s="191">
        <f t="shared" si="1"/>
        <v>4</v>
      </c>
      <c r="N14" s="191">
        <f t="shared" si="1"/>
        <v>6</v>
      </c>
      <c r="O14" s="191">
        <f t="shared" si="1"/>
        <v>2</v>
      </c>
      <c r="P14" s="191">
        <f t="shared" si="1"/>
        <v>4</v>
      </c>
      <c r="Q14" s="192"/>
      <c r="R14" s="179"/>
      <c r="S14" s="179"/>
      <c r="T14" s="179"/>
      <c r="U14" s="179"/>
      <c r="V14" s="179"/>
      <c r="W14" s="179"/>
      <c r="X14" s="179"/>
      <c r="Y14" s="179"/>
      <c r="Z14" s="179"/>
    </row>
    <row r="15">
      <c r="B15" s="193">
        <f t="shared" ref="B15:P15" si="2">AVERAGE(B9:B13)</f>
        <v>1.5</v>
      </c>
      <c r="C15" s="193">
        <f t="shared" si="2"/>
        <v>1.75</v>
      </c>
      <c r="D15" s="193">
        <f t="shared" si="2"/>
        <v>2</v>
      </c>
      <c r="E15" s="193">
        <f t="shared" si="2"/>
        <v>1</v>
      </c>
      <c r="F15" s="193">
        <f t="shared" si="2"/>
        <v>1</v>
      </c>
      <c r="G15" s="193">
        <f t="shared" si="2"/>
        <v>1</v>
      </c>
      <c r="H15" s="193" t="str">
        <f t="shared" si="2"/>
        <v>#DIV/0!</v>
      </c>
      <c r="I15" s="193">
        <f t="shared" si="2"/>
        <v>1</v>
      </c>
      <c r="J15" s="193" t="str">
        <f t="shared" si="2"/>
        <v>#DIV/0!</v>
      </c>
      <c r="K15" s="193">
        <f t="shared" si="2"/>
        <v>1</v>
      </c>
      <c r="L15" s="193">
        <f t="shared" si="2"/>
        <v>1</v>
      </c>
      <c r="M15" s="193">
        <f t="shared" si="2"/>
        <v>1</v>
      </c>
      <c r="N15" s="193">
        <f t="shared" si="2"/>
        <v>1.5</v>
      </c>
      <c r="O15" s="193">
        <f t="shared" si="2"/>
        <v>1</v>
      </c>
      <c r="P15" s="193">
        <f t="shared" si="2"/>
        <v>1</v>
      </c>
      <c r="Q15" s="179"/>
    </row>
    <row r="16">
      <c r="Q16" s="192"/>
    </row>
    <row r="17">
      <c r="A17" s="194" t="s">
        <v>204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179"/>
    </row>
    <row r="18">
      <c r="A18" s="143"/>
      <c r="B18" s="143" t="s">
        <v>168</v>
      </c>
      <c r="C18" s="143" t="s">
        <v>169</v>
      </c>
      <c r="D18" s="143" t="s">
        <v>170</v>
      </c>
      <c r="E18" s="143" t="s">
        <v>171</v>
      </c>
      <c r="F18" s="143" t="s">
        <v>172</v>
      </c>
      <c r="G18" s="143" t="s">
        <v>173</v>
      </c>
      <c r="H18" s="143" t="s">
        <v>174</v>
      </c>
      <c r="I18" s="143" t="s">
        <v>175</v>
      </c>
      <c r="J18" s="143" t="s">
        <v>176</v>
      </c>
      <c r="K18" s="143" t="s">
        <v>177</v>
      </c>
      <c r="L18" s="143" t="s">
        <v>178</v>
      </c>
      <c r="M18" s="143" t="s">
        <v>179</v>
      </c>
      <c r="N18" s="143" t="s">
        <v>180</v>
      </c>
      <c r="O18" s="143" t="s">
        <v>181</v>
      </c>
      <c r="P18" s="143" t="s">
        <v>182</v>
      </c>
      <c r="Q18" s="195" t="s">
        <v>205</v>
      </c>
      <c r="R18" s="195" t="s">
        <v>205</v>
      </c>
      <c r="S18" s="179"/>
      <c r="T18" s="179"/>
      <c r="U18" s="179"/>
      <c r="V18" s="179"/>
      <c r="W18" s="179"/>
      <c r="X18" s="179"/>
      <c r="Y18" s="179"/>
      <c r="Z18" s="179"/>
    </row>
    <row r="19">
      <c r="A19" s="143" t="s">
        <v>31</v>
      </c>
      <c r="B19" s="196">
        <f t="shared" ref="B19:P19" si="3">IFERROR(IF(OR(B9="",B9&lt;=0,B9="-",B9="_",$Q$19=""),"",B9*$Q$19),)</f>
        <v>1.46031746</v>
      </c>
      <c r="C19" s="196">
        <f t="shared" si="3"/>
        <v>1.46031746</v>
      </c>
      <c r="D19" s="196" t="str">
        <f t="shared" si="3"/>
        <v/>
      </c>
      <c r="E19" s="196" t="str">
        <f t="shared" si="3"/>
        <v/>
      </c>
      <c r="F19" s="196">
        <f t="shared" si="3"/>
        <v>0.7301587302</v>
      </c>
      <c r="G19" s="196" t="str">
        <f t="shared" si="3"/>
        <v/>
      </c>
      <c r="H19" s="196" t="str">
        <f t="shared" si="3"/>
        <v/>
      </c>
      <c r="I19" s="196" t="str">
        <f t="shared" si="3"/>
        <v/>
      </c>
      <c r="J19" s="196" t="str">
        <f t="shared" si="3"/>
        <v/>
      </c>
      <c r="K19" s="196" t="str">
        <f t="shared" si="3"/>
        <v/>
      </c>
      <c r="L19" s="196">
        <f t="shared" si="3"/>
        <v>0.7301587302</v>
      </c>
      <c r="M19" s="196">
        <f t="shared" si="3"/>
        <v>0.7301587302</v>
      </c>
      <c r="N19" s="196">
        <f t="shared" si="3"/>
        <v>0.7301587302</v>
      </c>
      <c r="O19" s="196" t="str">
        <f t="shared" si="3"/>
        <v/>
      </c>
      <c r="P19" s="196">
        <f t="shared" si="3"/>
        <v>0.7301587302</v>
      </c>
      <c r="Q19" s="197">
        <f>IFERROR(CO_ATTAINMENT!Z136/3,"")</f>
        <v>0.7301587302</v>
      </c>
      <c r="R19" s="192">
        <f>CO_ATTAINMENT!Z136</f>
        <v>2.19047619</v>
      </c>
      <c r="S19" s="179"/>
      <c r="T19" s="179"/>
      <c r="U19" s="179"/>
      <c r="V19" s="179"/>
      <c r="W19" s="179"/>
      <c r="X19" s="179"/>
      <c r="Y19" s="179"/>
      <c r="Z19" s="179"/>
    </row>
    <row r="20">
      <c r="A20" s="143" t="s">
        <v>32</v>
      </c>
      <c r="B20" s="196">
        <f t="shared" ref="B20:P20" si="4">IFERROR(IF(OR(B10="",B10&lt;=0,B10="-",B10="_",$Q$20=""),"",B10*$Q$20),)</f>
        <v>0</v>
      </c>
      <c r="C20" s="196">
        <f t="shared" si="4"/>
        <v>0</v>
      </c>
      <c r="D20" s="196">
        <f t="shared" si="4"/>
        <v>0</v>
      </c>
      <c r="E20" s="196">
        <f t="shared" si="4"/>
        <v>0</v>
      </c>
      <c r="F20" s="196">
        <f t="shared" si="4"/>
        <v>0</v>
      </c>
      <c r="G20" s="196" t="str">
        <f t="shared" si="4"/>
        <v/>
      </c>
      <c r="H20" s="196" t="str">
        <f t="shared" si="4"/>
        <v/>
      </c>
      <c r="I20" s="196" t="str">
        <f t="shared" si="4"/>
        <v/>
      </c>
      <c r="J20" s="196" t="str">
        <f t="shared" si="4"/>
        <v/>
      </c>
      <c r="K20" s="196">
        <f t="shared" si="4"/>
        <v>0</v>
      </c>
      <c r="L20" s="196" t="str">
        <f t="shared" si="4"/>
        <v/>
      </c>
      <c r="M20" s="196">
        <f t="shared" si="4"/>
        <v>0</v>
      </c>
      <c r="N20" s="196">
        <f t="shared" si="4"/>
        <v>0</v>
      </c>
      <c r="O20" s="196" t="str">
        <f t="shared" si="4"/>
        <v/>
      </c>
      <c r="P20" s="196">
        <f t="shared" si="4"/>
        <v>0</v>
      </c>
      <c r="Q20" s="197">
        <f>IFERROR(CO_ATTAINMENT!AA136/3,"")</f>
        <v>0</v>
      </c>
      <c r="R20" s="192">
        <f>CO_ATTAINMENT!AA136</f>
        <v>0</v>
      </c>
      <c r="S20" s="179"/>
      <c r="T20" s="179"/>
      <c r="U20" s="179"/>
      <c r="V20" s="179"/>
      <c r="W20" s="179"/>
      <c r="X20" s="179"/>
      <c r="Y20" s="179"/>
      <c r="Z20" s="179"/>
    </row>
    <row r="21" ht="15.75" customHeight="1">
      <c r="A21" s="143" t="s">
        <v>33</v>
      </c>
      <c r="B21" s="196">
        <f t="shared" ref="B21:P21" si="5">IFERROR(IF(OR(B11="",B11&lt;=0,B11="-",B11="_",$Q$21=""),"",B11*$Q$21),)</f>
        <v>0</v>
      </c>
      <c r="C21" s="196">
        <f t="shared" si="5"/>
        <v>0</v>
      </c>
      <c r="D21" s="196">
        <f t="shared" si="5"/>
        <v>0</v>
      </c>
      <c r="E21" s="196" t="str">
        <f t="shared" si="5"/>
        <v/>
      </c>
      <c r="F21" s="196">
        <f t="shared" si="5"/>
        <v>0</v>
      </c>
      <c r="G21" s="196">
        <f t="shared" si="5"/>
        <v>0</v>
      </c>
      <c r="H21" s="196" t="str">
        <f t="shared" si="5"/>
        <v/>
      </c>
      <c r="I21" s="196">
        <f t="shared" si="5"/>
        <v>0</v>
      </c>
      <c r="J21" s="196" t="str">
        <f t="shared" si="5"/>
        <v/>
      </c>
      <c r="K21" s="196" t="str">
        <f t="shared" si="5"/>
        <v/>
      </c>
      <c r="L21" s="196" t="str">
        <f t="shared" si="5"/>
        <v/>
      </c>
      <c r="M21" s="196">
        <f t="shared" si="5"/>
        <v>0</v>
      </c>
      <c r="N21" s="196">
        <f t="shared" si="5"/>
        <v>0</v>
      </c>
      <c r="O21" s="196">
        <f t="shared" si="5"/>
        <v>0</v>
      </c>
      <c r="P21" s="196">
        <f t="shared" si="5"/>
        <v>0</v>
      </c>
      <c r="Q21" s="197">
        <f>IFERROR(CO_ATTAINMENT!AB136/3,"")</f>
        <v>0</v>
      </c>
      <c r="R21" s="192">
        <f>CO_ATTAINMENT!AB136</f>
        <v>0</v>
      </c>
      <c r="S21" s="179"/>
      <c r="T21" s="179"/>
      <c r="U21" s="179"/>
      <c r="V21" s="179"/>
      <c r="W21" s="179"/>
      <c r="X21" s="179"/>
      <c r="Y21" s="179"/>
      <c r="Z21" s="179"/>
    </row>
    <row r="22" ht="15.75" customHeight="1">
      <c r="A22" s="143" t="s">
        <v>34</v>
      </c>
      <c r="B22" s="196">
        <f t="shared" ref="B22:P22" si="6">IFERROR(IF(OR(B12="",B12&lt;=0,B12="-",B12="_",$Q$22=""),"",B12*$Q$22),)</f>
        <v>0</v>
      </c>
      <c r="C22" s="196">
        <f t="shared" si="6"/>
        <v>0</v>
      </c>
      <c r="D22" s="196">
        <f t="shared" si="6"/>
        <v>0</v>
      </c>
      <c r="E22" s="196">
        <f t="shared" si="6"/>
        <v>0</v>
      </c>
      <c r="F22" s="196">
        <f t="shared" si="6"/>
        <v>0</v>
      </c>
      <c r="G22" s="196">
        <f t="shared" si="6"/>
        <v>0</v>
      </c>
      <c r="H22" s="196" t="str">
        <f t="shared" si="6"/>
        <v/>
      </c>
      <c r="I22" s="196">
        <f t="shared" si="6"/>
        <v>0</v>
      </c>
      <c r="J22" s="196" t="str">
        <f t="shared" si="6"/>
        <v/>
      </c>
      <c r="K22" s="196">
        <f t="shared" si="6"/>
        <v>0</v>
      </c>
      <c r="L22" s="196">
        <f t="shared" si="6"/>
        <v>0</v>
      </c>
      <c r="M22" s="196">
        <f t="shared" si="6"/>
        <v>0</v>
      </c>
      <c r="N22" s="196">
        <f t="shared" si="6"/>
        <v>0</v>
      </c>
      <c r="O22" s="196">
        <f t="shared" si="6"/>
        <v>0</v>
      </c>
      <c r="P22" s="196">
        <f t="shared" si="6"/>
        <v>0</v>
      </c>
      <c r="Q22" s="197">
        <f>IFERROR(CO_ATTAINMENT!AC136/3,"")</f>
        <v>0</v>
      </c>
      <c r="R22" s="192">
        <f>CO_ATTAINMENT!AC136</f>
        <v>0</v>
      </c>
      <c r="S22" s="179"/>
      <c r="T22" s="179"/>
      <c r="U22" s="179"/>
      <c r="V22" s="179"/>
      <c r="W22" s="179"/>
      <c r="X22" s="179"/>
      <c r="Y22" s="179"/>
      <c r="Z22" s="179"/>
    </row>
    <row r="23" ht="15.75" customHeight="1">
      <c r="A23" s="143" t="s">
        <v>35</v>
      </c>
      <c r="B23" s="196" t="str">
        <f t="shared" ref="B23:P23" si="7">IFERROR(IF(OR(B13="",B13&lt;=0,B13="-",B13="_",$Q$23=""),"",B13*$Q$23),)</f>
        <v/>
      </c>
      <c r="C23" s="196" t="str">
        <f t="shared" si="7"/>
        <v/>
      </c>
      <c r="D23" s="196" t="str">
        <f t="shared" si="7"/>
        <v/>
      </c>
      <c r="E23" s="196" t="str">
        <f t="shared" si="7"/>
        <v/>
      </c>
      <c r="F23" s="196" t="str">
        <f t="shared" si="7"/>
        <v/>
      </c>
      <c r="G23" s="196" t="str">
        <f t="shared" si="7"/>
        <v/>
      </c>
      <c r="H23" s="196" t="str">
        <f t="shared" si="7"/>
        <v/>
      </c>
      <c r="I23" s="196" t="str">
        <f t="shared" si="7"/>
        <v/>
      </c>
      <c r="J23" s="196" t="str">
        <f t="shared" si="7"/>
        <v/>
      </c>
      <c r="K23" s="196" t="str">
        <f t="shared" si="7"/>
        <v/>
      </c>
      <c r="L23" s="196" t="str">
        <f t="shared" si="7"/>
        <v/>
      </c>
      <c r="M23" s="196" t="str">
        <f t="shared" si="7"/>
        <v/>
      </c>
      <c r="N23" s="196" t="str">
        <f t="shared" si="7"/>
        <v/>
      </c>
      <c r="O23" s="196" t="str">
        <f t="shared" si="7"/>
        <v/>
      </c>
      <c r="P23" s="196" t="str">
        <f t="shared" si="7"/>
        <v/>
      </c>
      <c r="Q23" s="197">
        <f>IFERROR(CO_ATTAINMENT!AD136/3,"")</f>
        <v>0</v>
      </c>
      <c r="R23" s="192" t="str">
        <f>CO_ATTAINMENT!AD136</f>
        <v/>
      </c>
      <c r="S23" s="179"/>
      <c r="T23" s="179"/>
      <c r="U23" s="179"/>
      <c r="V23" s="179"/>
      <c r="W23" s="179"/>
      <c r="X23" s="179"/>
      <c r="Y23" s="179"/>
      <c r="Z23" s="179"/>
    </row>
    <row r="24" ht="15.75" customHeight="1">
      <c r="A24" s="198" t="s">
        <v>206</v>
      </c>
      <c r="B24" s="191">
        <f t="shared" ref="B24:P24" si="8">IFERROR(AVERAGE(B19:B23),"")</f>
        <v>0.3650793651</v>
      </c>
      <c r="C24" s="191">
        <f t="shared" si="8"/>
        <v>0.3650793651</v>
      </c>
      <c r="D24" s="191">
        <f t="shared" si="8"/>
        <v>0</v>
      </c>
      <c r="E24" s="191">
        <f t="shared" si="8"/>
        <v>0</v>
      </c>
      <c r="F24" s="191">
        <f t="shared" si="8"/>
        <v>0.1825396825</v>
      </c>
      <c r="G24" s="191">
        <f t="shared" si="8"/>
        <v>0</v>
      </c>
      <c r="H24" s="191" t="str">
        <f t="shared" si="8"/>
        <v/>
      </c>
      <c r="I24" s="191">
        <f t="shared" si="8"/>
        <v>0</v>
      </c>
      <c r="J24" s="191" t="str">
        <f t="shared" si="8"/>
        <v/>
      </c>
      <c r="K24" s="191">
        <f t="shared" si="8"/>
        <v>0</v>
      </c>
      <c r="L24" s="191">
        <f t="shared" si="8"/>
        <v>0.3650793651</v>
      </c>
      <c r="M24" s="191">
        <f t="shared" si="8"/>
        <v>0.1825396825</v>
      </c>
      <c r="N24" s="191">
        <f t="shared" si="8"/>
        <v>0.1825396825</v>
      </c>
      <c r="O24" s="191">
        <f t="shared" si="8"/>
        <v>0</v>
      </c>
      <c r="P24" s="191">
        <f t="shared" si="8"/>
        <v>0.1825396825</v>
      </c>
      <c r="Q24" s="199"/>
      <c r="R24" s="179"/>
      <c r="S24" s="179"/>
      <c r="T24" s="179"/>
      <c r="U24" s="179"/>
      <c r="V24" s="179"/>
      <c r="W24" s="179"/>
      <c r="X24" s="179"/>
      <c r="Y24" s="179"/>
      <c r="Z24" s="179"/>
    </row>
    <row r="25" ht="15.75" customHeight="1">
      <c r="Q25" s="179"/>
    </row>
    <row r="26" ht="15.75" customHeight="1">
      <c r="J26" s="200" t="s">
        <v>207</v>
      </c>
      <c r="K26" s="139"/>
      <c r="L26" s="139"/>
      <c r="M26" s="139"/>
      <c r="N26" s="139"/>
      <c r="O26" s="201"/>
      <c r="P26" s="191">
        <f>IFERROR(AVERAGEIF(B24:P24,"&gt;0"),"")</f>
        <v>0.2607709751</v>
      </c>
      <c r="Q26" s="179"/>
    </row>
    <row r="27" ht="15.75" customHeight="1">
      <c r="A27" s="194" t="s">
        <v>208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179"/>
    </row>
    <row r="28" ht="15.75" customHeight="1">
      <c r="A28" s="143"/>
      <c r="B28" s="143" t="s">
        <v>168</v>
      </c>
      <c r="C28" s="143" t="s">
        <v>169</v>
      </c>
      <c r="D28" s="143" t="s">
        <v>170</v>
      </c>
      <c r="E28" s="143" t="s">
        <v>171</v>
      </c>
      <c r="F28" s="143" t="s">
        <v>172</v>
      </c>
      <c r="G28" s="143" t="s">
        <v>173</v>
      </c>
      <c r="H28" s="143" t="s">
        <v>174</v>
      </c>
      <c r="I28" s="143" t="s">
        <v>175</v>
      </c>
      <c r="J28" s="143" t="s">
        <v>176</v>
      </c>
      <c r="K28" s="143" t="s">
        <v>177</v>
      </c>
      <c r="L28" s="143" t="s">
        <v>178</v>
      </c>
      <c r="M28" s="143" t="s">
        <v>179</v>
      </c>
      <c r="N28" s="143" t="s">
        <v>180</v>
      </c>
      <c r="O28" s="143" t="s">
        <v>181</v>
      </c>
      <c r="P28" s="143" t="s">
        <v>182</v>
      </c>
      <c r="Q28" s="195" t="s">
        <v>205</v>
      </c>
      <c r="R28" s="195" t="s">
        <v>205</v>
      </c>
      <c r="S28" s="179"/>
      <c r="T28" s="179"/>
      <c r="U28" s="179"/>
      <c r="V28" s="179"/>
      <c r="W28" s="179"/>
      <c r="X28" s="179"/>
      <c r="Y28" s="179"/>
      <c r="Z28" s="179"/>
    </row>
    <row r="29" ht="15.75" customHeight="1">
      <c r="A29" s="143" t="s">
        <v>31</v>
      </c>
      <c r="B29" s="196" t="str">
        <f t="shared" ref="B29:P29" si="9">IFERROR(IF(OR(B9="",B9&lt;=0,B9="-",B9="_",$Q$29=""),"",B9*$Q$29),)</f>
        <v/>
      </c>
      <c r="C29" s="196" t="str">
        <f t="shared" si="9"/>
        <v/>
      </c>
      <c r="D29" s="196" t="str">
        <f t="shared" si="9"/>
        <v/>
      </c>
      <c r="E29" s="196" t="str">
        <f t="shared" si="9"/>
        <v/>
      </c>
      <c r="F29" s="196" t="str">
        <f t="shared" si="9"/>
        <v/>
      </c>
      <c r="G29" s="196" t="str">
        <f t="shared" si="9"/>
        <v/>
      </c>
      <c r="H29" s="196" t="str">
        <f t="shared" si="9"/>
        <v/>
      </c>
      <c r="I29" s="196" t="str">
        <f t="shared" si="9"/>
        <v/>
      </c>
      <c r="J29" s="196" t="str">
        <f t="shared" si="9"/>
        <v/>
      </c>
      <c r="K29" s="196" t="str">
        <f t="shared" si="9"/>
        <v/>
      </c>
      <c r="L29" s="196" t="str">
        <f t="shared" si="9"/>
        <v/>
      </c>
      <c r="M29" s="196" t="str">
        <f t="shared" si="9"/>
        <v/>
      </c>
      <c r="N29" s="196" t="str">
        <f t="shared" si="9"/>
        <v/>
      </c>
      <c r="O29" s="196" t="str">
        <f t="shared" si="9"/>
        <v/>
      </c>
      <c r="P29" s="196" t="str">
        <f t="shared" si="9"/>
        <v/>
      </c>
      <c r="Q29" s="197" t="str">
        <f t="shared" ref="Q29:Q33" si="11">R29</f>
        <v/>
      </c>
      <c r="R29" s="192" t="str">
        <f>CO_ATTAINMENT!Z142</f>
        <v/>
      </c>
      <c r="S29" s="179"/>
      <c r="T29" s="179"/>
      <c r="U29" s="179"/>
      <c r="V29" s="179"/>
      <c r="W29" s="179"/>
      <c r="X29" s="179"/>
      <c r="Y29" s="179"/>
      <c r="Z29" s="179"/>
    </row>
    <row r="30" ht="15.75" customHeight="1">
      <c r="A30" s="143" t="s">
        <v>32</v>
      </c>
      <c r="B30" s="196" t="str">
        <f t="shared" ref="B30:P30" si="10">IFERROR(IF(OR(B10="",B10&lt;=0,B10="-",B10="_",$Q$29=""),"",B10*$Q$30),)</f>
        <v/>
      </c>
      <c r="C30" s="196" t="str">
        <f t="shared" si="10"/>
        <v/>
      </c>
      <c r="D30" s="196" t="str">
        <f t="shared" si="10"/>
        <v/>
      </c>
      <c r="E30" s="196" t="str">
        <f t="shared" si="10"/>
        <v/>
      </c>
      <c r="F30" s="196" t="str">
        <f t="shared" si="10"/>
        <v/>
      </c>
      <c r="G30" s="196" t="str">
        <f t="shared" si="10"/>
        <v/>
      </c>
      <c r="H30" s="196" t="str">
        <f t="shared" si="10"/>
        <v/>
      </c>
      <c r="I30" s="196" t="str">
        <f t="shared" si="10"/>
        <v/>
      </c>
      <c r="J30" s="196" t="str">
        <f t="shared" si="10"/>
        <v/>
      </c>
      <c r="K30" s="196" t="str">
        <f t="shared" si="10"/>
        <v/>
      </c>
      <c r="L30" s="196" t="str">
        <f t="shared" si="10"/>
        <v/>
      </c>
      <c r="M30" s="196" t="str">
        <f t="shared" si="10"/>
        <v/>
      </c>
      <c r="N30" s="196" t="str">
        <f t="shared" si="10"/>
        <v/>
      </c>
      <c r="O30" s="196" t="str">
        <f t="shared" si="10"/>
        <v/>
      </c>
      <c r="P30" s="196" t="str">
        <f t="shared" si="10"/>
        <v/>
      </c>
      <c r="Q30" s="197" t="str">
        <f t="shared" si="11"/>
        <v/>
      </c>
      <c r="R30" s="192" t="str">
        <f>CO_ATTAINMENT!AA142</f>
        <v/>
      </c>
      <c r="S30" s="179"/>
      <c r="T30" s="179"/>
      <c r="U30" s="179"/>
      <c r="V30" s="179"/>
      <c r="W30" s="179"/>
      <c r="X30" s="179"/>
      <c r="Y30" s="179"/>
      <c r="Z30" s="179"/>
    </row>
    <row r="31" ht="15.75" customHeight="1">
      <c r="A31" s="143" t="s">
        <v>33</v>
      </c>
      <c r="B31" s="196" t="str">
        <f t="shared" ref="B31:P31" si="12">IFERROR(IF(OR(B11="",B11&lt;=0,B11="-",B11="_",$Q$29=""),"",B11*$Q$31),)</f>
        <v/>
      </c>
      <c r="C31" s="196" t="str">
        <f t="shared" si="12"/>
        <v/>
      </c>
      <c r="D31" s="196" t="str">
        <f t="shared" si="12"/>
        <v/>
      </c>
      <c r="E31" s="196" t="str">
        <f t="shared" si="12"/>
        <v/>
      </c>
      <c r="F31" s="196" t="str">
        <f t="shared" si="12"/>
        <v/>
      </c>
      <c r="G31" s="196" t="str">
        <f t="shared" si="12"/>
        <v/>
      </c>
      <c r="H31" s="196" t="str">
        <f t="shared" si="12"/>
        <v/>
      </c>
      <c r="I31" s="196" t="str">
        <f t="shared" si="12"/>
        <v/>
      </c>
      <c r="J31" s="196" t="str">
        <f t="shared" si="12"/>
        <v/>
      </c>
      <c r="K31" s="196" t="str">
        <f t="shared" si="12"/>
        <v/>
      </c>
      <c r="L31" s="196" t="str">
        <f t="shared" si="12"/>
        <v/>
      </c>
      <c r="M31" s="196" t="str">
        <f t="shared" si="12"/>
        <v/>
      </c>
      <c r="N31" s="196" t="str">
        <f t="shared" si="12"/>
        <v/>
      </c>
      <c r="O31" s="196" t="str">
        <f t="shared" si="12"/>
        <v/>
      </c>
      <c r="P31" s="196" t="str">
        <f t="shared" si="12"/>
        <v/>
      </c>
      <c r="Q31" s="197" t="str">
        <f t="shared" si="11"/>
        <v/>
      </c>
      <c r="R31" s="192" t="str">
        <f>CO_ATTAINMENT!AB142</f>
        <v/>
      </c>
      <c r="S31" s="179"/>
      <c r="T31" s="179"/>
      <c r="U31" s="179"/>
      <c r="V31" s="179"/>
      <c r="W31" s="179"/>
      <c r="X31" s="179"/>
      <c r="Y31" s="179"/>
      <c r="Z31" s="179"/>
    </row>
    <row r="32" ht="15.75" customHeight="1">
      <c r="A32" s="143" t="s">
        <v>34</v>
      </c>
      <c r="B32" s="196" t="str">
        <f t="shared" ref="B32:P32" si="13">IFERROR(IF(OR(B12="",B12&lt;=0,B12="-",B12="_",$Q$29=""),"",B12*$Q$32),)</f>
        <v/>
      </c>
      <c r="C32" s="196" t="str">
        <f t="shared" si="13"/>
        <v/>
      </c>
      <c r="D32" s="196" t="str">
        <f t="shared" si="13"/>
        <v/>
      </c>
      <c r="E32" s="196" t="str">
        <f t="shared" si="13"/>
        <v/>
      </c>
      <c r="F32" s="196" t="str">
        <f t="shared" si="13"/>
        <v/>
      </c>
      <c r="G32" s="196" t="str">
        <f t="shared" si="13"/>
        <v/>
      </c>
      <c r="H32" s="196" t="str">
        <f t="shared" si="13"/>
        <v/>
      </c>
      <c r="I32" s="196" t="str">
        <f t="shared" si="13"/>
        <v/>
      </c>
      <c r="J32" s="196" t="str">
        <f t="shared" si="13"/>
        <v/>
      </c>
      <c r="K32" s="196" t="str">
        <f t="shared" si="13"/>
        <v/>
      </c>
      <c r="L32" s="196" t="str">
        <f t="shared" si="13"/>
        <v/>
      </c>
      <c r="M32" s="196" t="str">
        <f t="shared" si="13"/>
        <v/>
      </c>
      <c r="N32" s="196" t="str">
        <f t="shared" si="13"/>
        <v/>
      </c>
      <c r="O32" s="196" t="str">
        <f t="shared" si="13"/>
        <v/>
      </c>
      <c r="P32" s="196" t="str">
        <f t="shared" si="13"/>
        <v/>
      </c>
      <c r="Q32" s="197" t="str">
        <f t="shared" si="11"/>
        <v/>
      </c>
      <c r="R32" s="192" t="str">
        <f>CO_ATTAINMENT!AC142</f>
        <v/>
      </c>
      <c r="S32" s="179"/>
      <c r="T32" s="179"/>
      <c r="U32" s="179"/>
      <c r="V32" s="179"/>
      <c r="W32" s="179"/>
      <c r="X32" s="179"/>
      <c r="Y32" s="179"/>
      <c r="Z32" s="179"/>
    </row>
    <row r="33" ht="15.75" customHeight="1">
      <c r="A33" s="143" t="s">
        <v>35</v>
      </c>
      <c r="B33" s="196" t="str">
        <f t="shared" ref="B33:P33" si="14">IFERROR(IF(OR(B23="",B23&lt;=0,B23="-",B23="_",$Q$23=""),"",B23*$Q$33),)</f>
        <v/>
      </c>
      <c r="C33" s="196" t="str">
        <f t="shared" si="14"/>
        <v/>
      </c>
      <c r="D33" s="196" t="str">
        <f t="shared" si="14"/>
        <v/>
      </c>
      <c r="E33" s="196" t="str">
        <f t="shared" si="14"/>
        <v/>
      </c>
      <c r="F33" s="196" t="str">
        <f t="shared" si="14"/>
        <v/>
      </c>
      <c r="G33" s="196" t="str">
        <f t="shared" si="14"/>
        <v/>
      </c>
      <c r="H33" s="196" t="str">
        <f t="shared" si="14"/>
        <v/>
      </c>
      <c r="I33" s="196" t="str">
        <f t="shared" si="14"/>
        <v/>
      </c>
      <c r="J33" s="196" t="str">
        <f t="shared" si="14"/>
        <v/>
      </c>
      <c r="K33" s="196" t="str">
        <f t="shared" si="14"/>
        <v/>
      </c>
      <c r="L33" s="196" t="str">
        <f t="shared" si="14"/>
        <v/>
      </c>
      <c r="M33" s="196" t="str">
        <f t="shared" si="14"/>
        <v/>
      </c>
      <c r="N33" s="196" t="str">
        <f t="shared" si="14"/>
        <v/>
      </c>
      <c r="O33" s="196" t="str">
        <f t="shared" si="14"/>
        <v/>
      </c>
      <c r="P33" s="196" t="str">
        <f t="shared" si="14"/>
        <v/>
      </c>
      <c r="Q33" s="197" t="str">
        <f t="shared" si="11"/>
        <v/>
      </c>
      <c r="R33" s="192" t="str">
        <f>CO_ATTAINMENT!AD142</f>
        <v/>
      </c>
      <c r="S33" s="179"/>
      <c r="T33" s="179"/>
      <c r="U33" s="179"/>
      <c r="V33" s="179"/>
      <c r="W33" s="179"/>
      <c r="X33" s="179"/>
      <c r="Y33" s="179"/>
      <c r="Z33" s="179"/>
    </row>
    <row r="34" ht="15.75" customHeight="1">
      <c r="A34" s="198" t="s">
        <v>209</v>
      </c>
      <c r="B34" s="191">
        <f t="shared" ref="B34:P34" si="15">IFERROR(SUM(B28:B33),"")</f>
        <v>0</v>
      </c>
      <c r="C34" s="191">
        <f t="shared" si="15"/>
        <v>0</v>
      </c>
      <c r="D34" s="191">
        <f t="shared" si="15"/>
        <v>0</v>
      </c>
      <c r="E34" s="191">
        <f t="shared" si="15"/>
        <v>0</v>
      </c>
      <c r="F34" s="191">
        <f t="shared" si="15"/>
        <v>0</v>
      </c>
      <c r="G34" s="191">
        <f t="shared" si="15"/>
        <v>0</v>
      </c>
      <c r="H34" s="191">
        <f t="shared" si="15"/>
        <v>0</v>
      </c>
      <c r="I34" s="191">
        <f t="shared" si="15"/>
        <v>0</v>
      </c>
      <c r="J34" s="191">
        <f t="shared" si="15"/>
        <v>0</v>
      </c>
      <c r="K34" s="191">
        <f t="shared" si="15"/>
        <v>0</v>
      </c>
      <c r="L34" s="191">
        <f t="shared" si="15"/>
        <v>0</v>
      </c>
      <c r="M34" s="191">
        <f t="shared" si="15"/>
        <v>0</v>
      </c>
      <c r="N34" s="191">
        <f t="shared" si="15"/>
        <v>0</v>
      </c>
      <c r="O34" s="191">
        <f t="shared" si="15"/>
        <v>0</v>
      </c>
      <c r="P34" s="191">
        <f t="shared" si="15"/>
        <v>0</v>
      </c>
      <c r="Q34" s="199"/>
      <c r="R34" s="179"/>
      <c r="S34" s="179"/>
      <c r="T34" s="179"/>
      <c r="U34" s="179"/>
      <c r="V34" s="179"/>
      <c r="W34" s="179"/>
      <c r="X34" s="179"/>
      <c r="Y34" s="179"/>
      <c r="Z34" s="179"/>
    </row>
    <row r="35" ht="15.75" customHeight="1">
      <c r="A35" s="202" t="s">
        <v>210</v>
      </c>
      <c r="B35" s="191">
        <f t="shared" ref="B35:P35" si="16">IFERROR(SUM(B9:B13),"")</f>
        <v>6</v>
      </c>
      <c r="C35" s="191">
        <f t="shared" si="16"/>
        <v>7</v>
      </c>
      <c r="D35" s="191">
        <f t="shared" si="16"/>
        <v>6</v>
      </c>
      <c r="E35" s="191">
        <f t="shared" si="16"/>
        <v>2</v>
      </c>
      <c r="F35" s="191">
        <f t="shared" si="16"/>
        <v>4</v>
      </c>
      <c r="G35" s="191">
        <f t="shared" si="16"/>
        <v>2</v>
      </c>
      <c r="H35" s="191">
        <f t="shared" si="16"/>
        <v>0</v>
      </c>
      <c r="I35" s="191">
        <f t="shared" si="16"/>
        <v>2</v>
      </c>
      <c r="J35" s="191">
        <f t="shared" si="16"/>
        <v>0</v>
      </c>
      <c r="K35" s="191">
        <f t="shared" si="16"/>
        <v>2</v>
      </c>
      <c r="L35" s="191">
        <f t="shared" si="16"/>
        <v>2</v>
      </c>
      <c r="M35" s="191">
        <f t="shared" si="16"/>
        <v>4</v>
      </c>
      <c r="N35" s="191">
        <f t="shared" si="16"/>
        <v>6</v>
      </c>
      <c r="O35" s="191">
        <f t="shared" si="16"/>
        <v>2</v>
      </c>
      <c r="P35" s="191">
        <f t="shared" si="16"/>
        <v>4</v>
      </c>
      <c r="Q35" s="199"/>
      <c r="R35" s="179"/>
      <c r="S35" s="179"/>
      <c r="T35" s="179"/>
      <c r="U35" s="179"/>
      <c r="V35" s="179"/>
      <c r="W35" s="179"/>
      <c r="X35" s="179"/>
      <c r="Y35" s="179"/>
      <c r="Z35" s="179"/>
    </row>
    <row r="36" ht="15.75" customHeight="1">
      <c r="A36" s="202" t="s">
        <v>206</v>
      </c>
      <c r="B36" s="203">
        <f t="shared" ref="B36:P36" si="17">IF(B34="","",IFERROR((B$34/B$35),""))</f>
        <v>0</v>
      </c>
      <c r="C36" s="203">
        <f t="shared" si="17"/>
        <v>0</v>
      </c>
      <c r="D36" s="203">
        <f t="shared" si="17"/>
        <v>0</v>
      </c>
      <c r="E36" s="203">
        <f t="shared" si="17"/>
        <v>0</v>
      </c>
      <c r="F36" s="203">
        <f t="shared" si="17"/>
        <v>0</v>
      </c>
      <c r="G36" s="203">
        <f t="shared" si="17"/>
        <v>0</v>
      </c>
      <c r="H36" s="203" t="str">
        <f t="shared" si="17"/>
        <v/>
      </c>
      <c r="I36" s="203">
        <f t="shared" si="17"/>
        <v>0</v>
      </c>
      <c r="J36" s="203" t="str">
        <f t="shared" si="17"/>
        <v/>
      </c>
      <c r="K36" s="203">
        <f t="shared" si="17"/>
        <v>0</v>
      </c>
      <c r="L36" s="203">
        <f t="shared" si="17"/>
        <v>0</v>
      </c>
      <c r="M36" s="203">
        <f t="shared" si="17"/>
        <v>0</v>
      </c>
      <c r="N36" s="203">
        <f t="shared" si="17"/>
        <v>0</v>
      </c>
      <c r="O36" s="203">
        <f t="shared" si="17"/>
        <v>0</v>
      </c>
      <c r="P36" s="203">
        <f t="shared" si="17"/>
        <v>0</v>
      </c>
      <c r="Q36" s="199"/>
      <c r="R36" s="179"/>
      <c r="S36" s="179"/>
      <c r="T36" s="179"/>
      <c r="U36" s="179"/>
      <c r="V36" s="179"/>
      <c r="W36" s="179"/>
      <c r="X36" s="179"/>
      <c r="Y36" s="179"/>
      <c r="Z36" s="179"/>
    </row>
    <row r="37" ht="15.75" customHeight="1">
      <c r="Q37" s="179"/>
    </row>
    <row r="38" ht="15.75" customHeight="1">
      <c r="J38" s="200" t="s">
        <v>211</v>
      </c>
      <c r="K38" s="139"/>
      <c r="L38" s="139"/>
      <c r="M38" s="139"/>
      <c r="N38" s="139"/>
      <c r="O38" s="201"/>
      <c r="P38" s="191" t="str">
        <f>IFERROR(AVERAGEIF(B36:P36,"&gt;0"),"")</f>
        <v/>
      </c>
      <c r="Q38" s="179"/>
    </row>
    <row r="39" ht="15.75" customHeight="1">
      <c r="Q39" s="179"/>
    </row>
    <row r="40" ht="15.75" customHeight="1">
      <c r="Q40" s="179"/>
    </row>
    <row r="41" ht="15.75" customHeight="1">
      <c r="Q41" s="179"/>
    </row>
    <row r="42" ht="15.75" customHeight="1">
      <c r="Q42" s="179"/>
    </row>
    <row r="43" ht="15.75" customHeight="1">
      <c r="Q43" s="179"/>
    </row>
    <row r="44" ht="15.75" customHeight="1">
      <c r="Q44" s="179"/>
    </row>
    <row r="45" ht="15.75" customHeight="1">
      <c r="Q45" s="179"/>
    </row>
    <row r="46" ht="15.75" customHeight="1">
      <c r="Q46" s="179"/>
    </row>
    <row r="47" ht="15.75" customHeight="1">
      <c r="Q47" s="179"/>
    </row>
    <row r="48" ht="15.75" customHeight="1">
      <c r="Q48" s="179"/>
    </row>
    <row r="49" ht="15.75" customHeight="1">
      <c r="Q49" s="179"/>
    </row>
    <row r="50" ht="15.75" customHeight="1">
      <c r="Q50" s="179"/>
    </row>
    <row r="51" ht="15.75" customHeight="1">
      <c r="Q51" s="179"/>
    </row>
    <row r="52" ht="15.75" customHeight="1">
      <c r="Q52" s="179"/>
    </row>
    <row r="53" ht="15.75" customHeight="1">
      <c r="Q53" s="179"/>
    </row>
    <row r="54" ht="15.75" customHeight="1">
      <c r="Q54" s="179"/>
    </row>
    <row r="55" ht="15.75" customHeight="1">
      <c r="Q55" s="179"/>
    </row>
    <row r="56" ht="15.75" customHeight="1">
      <c r="Q56" s="179"/>
    </row>
    <row r="57" ht="15.75" customHeight="1">
      <c r="Q57" s="179"/>
    </row>
    <row r="58" ht="15.75" customHeight="1">
      <c r="Q58" s="179"/>
    </row>
    <row r="59" ht="15.75" customHeight="1">
      <c r="Q59" s="179"/>
    </row>
    <row r="60" ht="15.75" customHeight="1">
      <c r="Q60" s="179"/>
    </row>
    <row r="61" ht="15.75" customHeight="1">
      <c r="Q61" s="179"/>
    </row>
    <row r="62" ht="15.75" customHeight="1">
      <c r="Q62" s="179"/>
    </row>
    <row r="63" ht="15.75" customHeight="1">
      <c r="Q63" s="179"/>
    </row>
    <row r="64" ht="15.75" customHeight="1">
      <c r="Q64" s="179"/>
    </row>
    <row r="65" ht="15.75" customHeight="1">
      <c r="Q65" s="179"/>
    </row>
    <row r="66" ht="15.75" customHeight="1">
      <c r="Q66" s="179"/>
    </row>
    <row r="67" ht="15.75" customHeight="1">
      <c r="Q67" s="179"/>
    </row>
    <row r="68" ht="15.75" customHeight="1">
      <c r="Q68" s="179"/>
    </row>
    <row r="69" ht="15.75" customHeight="1">
      <c r="Q69" s="179"/>
    </row>
    <row r="70" ht="15.75" customHeight="1">
      <c r="Q70" s="179"/>
    </row>
    <row r="71" ht="15.75" customHeight="1">
      <c r="Q71" s="179"/>
    </row>
    <row r="72" ht="15.75" customHeight="1">
      <c r="Q72" s="179"/>
    </row>
    <row r="73" ht="15.75" customHeight="1">
      <c r="Q73" s="179"/>
    </row>
    <row r="74" ht="15.75" customHeight="1">
      <c r="Q74" s="179"/>
    </row>
    <row r="75" ht="15.75" customHeight="1">
      <c r="Q75" s="179"/>
    </row>
    <row r="76" ht="15.75" customHeight="1">
      <c r="Q76" s="179"/>
    </row>
    <row r="77" ht="15.75" customHeight="1">
      <c r="Q77" s="179"/>
    </row>
    <row r="78" ht="15.75" customHeight="1">
      <c r="Q78" s="179"/>
    </row>
    <row r="79" ht="15.75" customHeight="1">
      <c r="Q79" s="179"/>
    </row>
    <row r="80" ht="15.75" customHeight="1">
      <c r="Q80" s="179"/>
    </row>
    <row r="81" ht="15.75" customHeight="1">
      <c r="Q81" s="179"/>
    </row>
    <row r="82" ht="15.75" customHeight="1">
      <c r="Q82" s="179"/>
    </row>
    <row r="83" ht="15.75" customHeight="1">
      <c r="Q83" s="179"/>
    </row>
    <row r="84" ht="15.75" customHeight="1">
      <c r="Q84" s="179"/>
    </row>
    <row r="85" ht="15.75" customHeight="1">
      <c r="Q85" s="179"/>
    </row>
    <row r="86" ht="15.75" customHeight="1">
      <c r="Q86" s="179"/>
    </row>
    <row r="87" ht="15.75" customHeight="1">
      <c r="Q87" s="179"/>
    </row>
    <row r="88" ht="15.75" customHeight="1">
      <c r="Q88" s="179"/>
    </row>
    <row r="89" ht="15.75" customHeight="1">
      <c r="Q89" s="179"/>
    </row>
    <row r="90" ht="15.75" customHeight="1">
      <c r="Q90" s="179"/>
    </row>
    <row r="91" ht="15.75" customHeight="1">
      <c r="Q91" s="179"/>
    </row>
    <row r="92" ht="15.75" customHeight="1">
      <c r="Q92" s="179"/>
    </row>
    <row r="93" ht="15.75" customHeight="1">
      <c r="Q93" s="179"/>
    </row>
    <row r="94" ht="15.75" customHeight="1">
      <c r="Q94" s="179"/>
    </row>
    <row r="95" ht="15.75" customHeight="1">
      <c r="Q95" s="179"/>
    </row>
    <row r="96" ht="15.75" customHeight="1">
      <c r="Q96" s="179"/>
    </row>
    <row r="97" ht="15.75" customHeight="1">
      <c r="Q97" s="179"/>
    </row>
    <row r="98" ht="15.75" customHeight="1">
      <c r="Q98" s="179"/>
    </row>
    <row r="99" ht="15.75" customHeight="1">
      <c r="Q99" s="179"/>
    </row>
    <row r="100" ht="15.75" customHeight="1">
      <c r="Q100" s="179"/>
    </row>
    <row r="101" ht="15.75" customHeight="1">
      <c r="Q101" s="179"/>
    </row>
    <row r="102" ht="15.75" customHeight="1">
      <c r="Q102" s="179"/>
    </row>
    <row r="103" ht="15.75" customHeight="1">
      <c r="Q103" s="179"/>
    </row>
    <row r="104" ht="15.75" customHeight="1">
      <c r="Q104" s="179"/>
    </row>
    <row r="105" ht="15.75" customHeight="1">
      <c r="Q105" s="179"/>
    </row>
    <row r="106" ht="15.75" customHeight="1">
      <c r="Q106" s="179"/>
    </row>
    <row r="107" ht="15.75" customHeight="1">
      <c r="Q107" s="179"/>
    </row>
    <row r="108" ht="15.75" customHeight="1">
      <c r="Q108" s="179"/>
    </row>
    <row r="109" ht="15.75" customHeight="1">
      <c r="Q109" s="179"/>
    </row>
    <row r="110" ht="15.75" customHeight="1">
      <c r="Q110" s="179"/>
    </row>
    <row r="111" ht="15.75" customHeight="1">
      <c r="Q111" s="179"/>
    </row>
    <row r="112" ht="15.75" customHeight="1">
      <c r="Q112" s="179"/>
    </row>
    <row r="113" ht="15.75" customHeight="1">
      <c r="Q113" s="179"/>
    </row>
    <row r="114" ht="15.75" customHeight="1">
      <c r="Q114" s="179"/>
    </row>
    <row r="115" ht="15.75" customHeight="1">
      <c r="Q115" s="179"/>
    </row>
    <row r="116" ht="15.75" customHeight="1">
      <c r="Q116" s="179"/>
    </row>
    <row r="117" ht="15.75" customHeight="1">
      <c r="Q117" s="179"/>
    </row>
    <row r="118" ht="15.75" customHeight="1">
      <c r="Q118" s="179"/>
    </row>
    <row r="119" ht="15.75" customHeight="1">
      <c r="Q119" s="179"/>
    </row>
    <row r="120" ht="15.75" customHeight="1">
      <c r="Q120" s="179"/>
    </row>
    <row r="121" ht="15.75" customHeight="1">
      <c r="Q121" s="179"/>
    </row>
    <row r="122" ht="15.75" customHeight="1">
      <c r="Q122" s="179"/>
    </row>
    <row r="123" ht="15.75" customHeight="1">
      <c r="Q123" s="179"/>
    </row>
    <row r="124" ht="15.75" customHeight="1">
      <c r="Q124" s="179"/>
    </row>
    <row r="125" ht="15.75" customHeight="1">
      <c r="Q125" s="179"/>
    </row>
    <row r="126" ht="15.75" customHeight="1">
      <c r="Q126" s="179"/>
    </row>
    <row r="127" ht="15.75" customHeight="1">
      <c r="Q127" s="179"/>
    </row>
    <row r="128" ht="15.75" customHeight="1">
      <c r="Q128" s="179"/>
    </row>
    <row r="129" ht="15.75" customHeight="1">
      <c r="Q129" s="179"/>
    </row>
    <row r="130" ht="15.75" customHeight="1">
      <c r="Q130" s="179"/>
    </row>
    <row r="131" ht="15.75" customHeight="1">
      <c r="Q131" s="179"/>
    </row>
    <row r="132" ht="15.75" customHeight="1">
      <c r="Q132" s="179"/>
    </row>
    <row r="133" ht="15.75" customHeight="1">
      <c r="Q133" s="179"/>
    </row>
    <row r="134" ht="15.75" customHeight="1">
      <c r="Q134" s="179"/>
    </row>
    <row r="135" ht="15.75" customHeight="1">
      <c r="Q135" s="179"/>
    </row>
    <row r="136" ht="15.75" customHeight="1">
      <c r="Q136" s="179"/>
    </row>
    <row r="137" ht="15.75" customHeight="1">
      <c r="Q137" s="179"/>
    </row>
    <row r="138" ht="15.75" customHeight="1">
      <c r="Q138" s="179"/>
    </row>
    <row r="139" ht="15.75" customHeight="1">
      <c r="Q139" s="179"/>
    </row>
    <row r="140" ht="15.75" customHeight="1">
      <c r="Q140" s="179"/>
    </row>
    <row r="141" ht="15.75" customHeight="1">
      <c r="Q141" s="179"/>
    </row>
    <row r="142" ht="15.75" customHeight="1">
      <c r="Q142" s="179"/>
    </row>
    <row r="143" ht="15.75" customHeight="1">
      <c r="Q143" s="179"/>
    </row>
    <row r="144" ht="15.75" customHeight="1">
      <c r="Q144" s="179"/>
    </row>
    <row r="145" ht="15.75" customHeight="1">
      <c r="Q145" s="179"/>
    </row>
    <row r="146" ht="15.75" customHeight="1">
      <c r="Q146" s="179"/>
    </row>
    <row r="147" ht="15.75" customHeight="1">
      <c r="Q147" s="179"/>
    </row>
    <row r="148" ht="15.75" customHeight="1">
      <c r="Q148" s="179"/>
    </row>
    <row r="149" ht="15.75" customHeight="1">
      <c r="Q149" s="179"/>
    </row>
    <row r="150" ht="15.75" customHeight="1">
      <c r="Q150" s="179"/>
    </row>
    <row r="151" ht="15.75" customHeight="1">
      <c r="Q151" s="179"/>
    </row>
    <row r="152" ht="15.75" customHeight="1">
      <c r="Q152" s="179"/>
    </row>
    <row r="153" ht="15.75" customHeight="1">
      <c r="Q153" s="179"/>
    </row>
    <row r="154" ht="15.75" customHeight="1">
      <c r="Q154" s="179"/>
    </row>
    <row r="155" ht="15.75" customHeight="1">
      <c r="Q155" s="179"/>
    </row>
    <row r="156" ht="15.75" customHeight="1">
      <c r="Q156" s="179"/>
    </row>
    <row r="157" ht="15.75" customHeight="1">
      <c r="Q157" s="179"/>
    </row>
    <row r="158" ht="15.75" customHeight="1">
      <c r="Q158" s="179"/>
    </row>
    <row r="159" ht="15.75" customHeight="1">
      <c r="Q159" s="179"/>
    </row>
    <row r="160" ht="15.75" customHeight="1">
      <c r="Q160" s="179"/>
    </row>
    <row r="161" ht="15.75" customHeight="1">
      <c r="Q161" s="179"/>
    </row>
    <row r="162" ht="15.75" customHeight="1">
      <c r="Q162" s="179"/>
    </row>
    <row r="163" ht="15.75" customHeight="1">
      <c r="Q163" s="179"/>
    </row>
    <row r="164" ht="15.75" customHeight="1">
      <c r="Q164" s="179"/>
    </row>
    <row r="165" ht="15.75" customHeight="1">
      <c r="Q165" s="179"/>
    </row>
    <row r="166" ht="15.75" customHeight="1">
      <c r="Q166" s="179"/>
    </row>
    <row r="167" ht="15.75" customHeight="1">
      <c r="Q167" s="179"/>
    </row>
    <row r="168" ht="15.75" customHeight="1">
      <c r="Q168" s="179"/>
    </row>
    <row r="169" ht="15.75" customHeight="1">
      <c r="Q169" s="179"/>
    </row>
    <row r="170" ht="15.75" customHeight="1">
      <c r="Q170" s="179"/>
    </row>
    <row r="171" ht="15.75" customHeight="1">
      <c r="Q171" s="179"/>
    </row>
    <row r="172" ht="15.75" customHeight="1">
      <c r="Q172" s="179"/>
    </row>
    <row r="173" ht="15.75" customHeight="1">
      <c r="Q173" s="179"/>
    </row>
    <row r="174" ht="15.75" customHeight="1">
      <c r="Q174" s="179"/>
    </row>
    <row r="175" ht="15.75" customHeight="1">
      <c r="Q175" s="179"/>
    </row>
    <row r="176" ht="15.75" customHeight="1">
      <c r="Q176" s="179"/>
    </row>
    <row r="177" ht="15.75" customHeight="1">
      <c r="Q177" s="179"/>
    </row>
    <row r="178" ht="15.75" customHeight="1">
      <c r="Q178" s="179"/>
    </row>
    <row r="179" ht="15.75" customHeight="1">
      <c r="Q179" s="179"/>
    </row>
    <row r="180" ht="15.75" customHeight="1">
      <c r="Q180" s="179"/>
    </row>
    <row r="181" ht="15.75" customHeight="1">
      <c r="Q181" s="179"/>
    </row>
    <row r="182" ht="15.75" customHeight="1">
      <c r="Q182" s="179"/>
    </row>
    <row r="183" ht="15.75" customHeight="1">
      <c r="Q183" s="179"/>
    </row>
    <row r="184" ht="15.75" customHeight="1">
      <c r="Q184" s="179"/>
    </row>
    <row r="185" ht="15.75" customHeight="1">
      <c r="Q185" s="179"/>
    </row>
    <row r="186" ht="15.75" customHeight="1">
      <c r="Q186" s="179"/>
    </row>
    <row r="187" ht="15.75" customHeight="1">
      <c r="Q187" s="179"/>
    </row>
    <row r="188" ht="15.75" customHeight="1">
      <c r="Q188" s="179"/>
    </row>
    <row r="189" ht="15.75" customHeight="1">
      <c r="Q189" s="179"/>
    </row>
    <row r="190" ht="15.75" customHeight="1">
      <c r="Q190" s="179"/>
    </row>
    <row r="191" ht="15.75" customHeight="1">
      <c r="Q191" s="179"/>
    </row>
    <row r="192" ht="15.75" customHeight="1">
      <c r="Q192" s="179"/>
    </row>
    <row r="193" ht="15.75" customHeight="1">
      <c r="Q193" s="179"/>
    </row>
    <row r="194" ht="15.75" customHeight="1">
      <c r="Q194" s="179"/>
    </row>
    <row r="195" ht="15.75" customHeight="1">
      <c r="Q195" s="179"/>
    </row>
    <row r="196" ht="15.75" customHeight="1">
      <c r="Q196" s="179"/>
    </row>
    <row r="197" ht="15.75" customHeight="1">
      <c r="Q197" s="179"/>
    </row>
    <row r="198" ht="15.75" customHeight="1">
      <c r="Q198" s="179"/>
    </row>
    <row r="199" ht="15.75" customHeight="1">
      <c r="Q199" s="179"/>
    </row>
    <row r="200" ht="15.75" customHeight="1">
      <c r="Q200" s="179"/>
    </row>
    <row r="201" ht="15.75" customHeight="1">
      <c r="Q201" s="179"/>
    </row>
    <row r="202" ht="15.75" customHeight="1">
      <c r="Q202" s="179"/>
    </row>
    <row r="203" ht="15.75" customHeight="1">
      <c r="Q203" s="179"/>
    </row>
    <row r="204" ht="15.75" customHeight="1">
      <c r="Q204" s="179"/>
    </row>
    <row r="205" ht="15.75" customHeight="1">
      <c r="Q205" s="179"/>
    </row>
    <row r="206" ht="15.75" customHeight="1">
      <c r="Q206" s="179"/>
    </row>
    <row r="207" ht="15.75" customHeight="1">
      <c r="Q207" s="179"/>
    </row>
    <row r="208" ht="15.75" customHeight="1">
      <c r="Q208" s="179"/>
    </row>
    <row r="209" ht="15.75" customHeight="1">
      <c r="Q209" s="179"/>
    </row>
    <row r="210" ht="15.75" customHeight="1">
      <c r="Q210" s="179"/>
    </row>
    <row r="211" ht="15.75" customHeight="1">
      <c r="Q211" s="179"/>
    </row>
    <row r="212" ht="15.75" customHeight="1">
      <c r="Q212" s="179"/>
    </row>
    <row r="213" ht="15.75" customHeight="1">
      <c r="Q213" s="179"/>
    </row>
    <row r="214" ht="15.75" customHeight="1">
      <c r="Q214" s="179"/>
    </row>
    <row r="215" ht="15.75" customHeight="1">
      <c r="Q215" s="179"/>
    </row>
    <row r="216" ht="15.75" customHeight="1">
      <c r="Q216" s="179"/>
    </row>
    <row r="217" ht="15.75" customHeight="1">
      <c r="Q217" s="179"/>
    </row>
    <row r="218" ht="15.75" customHeight="1">
      <c r="Q218" s="179"/>
    </row>
    <row r="219" ht="15.75" customHeight="1">
      <c r="Q219" s="179"/>
    </row>
    <row r="220" ht="15.75" customHeight="1">
      <c r="Q220" s="179"/>
    </row>
    <row r="221" ht="15.75" customHeight="1">
      <c r="Q221" s="179"/>
    </row>
    <row r="222" ht="15.75" customHeight="1">
      <c r="Q222" s="179"/>
    </row>
    <row r="223" ht="15.75" customHeight="1">
      <c r="Q223" s="179"/>
    </row>
    <row r="224" ht="15.75" customHeight="1">
      <c r="Q224" s="179"/>
    </row>
    <row r="225" ht="15.75" customHeight="1">
      <c r="Q225" s="179"/>
    </row>
    <row r="226" ht="15.75" customHeight="1">
      <c r="Q226" s="179"/>
    </row>
    <row r="227" ht="15.75" customHeight="1">
      <c r="Q227" s="179"/>
    </row>
    <row r="228" ht="15.75" customHeight="1">
      <c r="Q228" s="179"/>
    </row>
    <row r="229" ht="15.75" customHeight="1">
      <c r="Q229" s="179"/>
    </row>
    <row r="230" ht="15.75" customHeight="1">
      <c r="Q230" s="179"/>
    </row>
    <row r="231" ht="15.75" customHeight="1">
      <c r="Q231" s="179"/>
    </row>
    <row r="232" ht="15.75" customHeight="1">
      <c r="Q232" s="179"/>
    </row>
    <row r="233" ht="15.75" customHeight="1">
      <c r="Q233" s="179"/>
    </row>
    <row r="234" ht="15.75" customHeight="1">
      <c r="Q234" s="179"/>
    </row>
    <row r="235" ht="15.75" customHeight="1">
      <c r="Q235" s="179"/>
    </row>
    <row r="236" ht="15.75" customHeight="1">
      <c r="Q236" s="179"/>
    </row>
    <row r="237" ht="15.75" customHeight="1">
      <c r="Q237" s="179"/>
    </row>
    <row r="238" ht="15.75" customHeight="1">
      <c r="Q238" s="179"/>
    </row>
    <row r="239" ht="15.75" customHeight="1">
      <c r="Q239" s="179"/>
    </row>
    <row r="240" ht="15.75" customHeight="1">
      <c r="Q240" s="179"/>
    </row>
    <row r="241" ht="15.75" customHeight="1">
      <c r="Q241" s="179"/>
    </row>
    <row r="242" ht="15.75" customHeight="1">
      <c r="Q242" s="179"/>
    </row>
    <row r="243" ht="15.75" customHeight="1">
      <c r="Q243" s="179"/>
    </row>
    <row r="244" ht="15.75" customHeight="1">
      <c r="Q244" s="179"/>
    </row>
    <row r="245" ht="15.75" customHeight="1">
      <c r="Q245" s="179"/>
    </row>
    <row r="246" ht="15.75" customHeight="1">
      <c r="Q246" s="179"/>
    </row>
    <row r="247" ht="15.75" customHeight="1">
      <c r="Q247" s="179"/>
    </row>
    <row r="248" ht="15.75" customHeight="1">
      <c r="Q248" s="179"/>
    </row>
    <row r="249" ht="15.75" customHeight="1">
      <c r="Q249" s="179"/>
    </row>
    <row r="250" ht="15.75" customHeight="1">
      <c r="Q250" s="179"/>
    </row>
    <row r="251" ht="15.75" customHeight="1">
      <c r="Q251" s="179"/>
    </row>
    <row r="252" ht="15.75" customHeight="1">
      <c r="Q252" s="179"/>
    </row>
    <row r="253" ht="15.75" customHeight="1">
      <c r="Q253" s="179"/>
    </row>
    <row r="254" ht="15.75" customHeight="1">
      <c r="Q254" s="179"/>
    </row>
    <row r="255" ht="15.75" customHeight="1">
      <c r="Q255" s="179"/>
    </row>
    <row r="256" ht="15.75" customHeight="1">
      <c r="Q256" s="179"/>
    </row>
    <row r="257" ht="15.75" customHeight="1">
      <c r="Q257" s="179"/>
    </row>
    <row r="258" ht="15.75" customHeight="1">
      <c r="Q258" s="179"/>
    </row>
    <row r="259" ht="15.75" customHeight="1">
      <c r="Q259" s="179"/>
    </row>
    <row r="260" ht="15.75" customHeight="1">
      <c r="Q260" s="179"/>
    </row>
    <row r="261" ht="15.75" customHeight="1">
      <c r="Q261" s="179"/>
    </row>
    <row r="262" ht="15.75" customHeight="1">
      <c r="Q262" s="179"/>
    </row>
    <row r="263" ht="15.75" customHeight="1">
      <c r="Q263" s="179"/>
    </row>
    <row r="264" ht="15.75" customHeight="1">
      <c r="Q264" s="179"/>
    </row>
    <row r="265" ht="15.75" customHeight="1">
      <c r="Q265" s="179"/>
    </row>
    <row r="266" ht="15.75" customHeight="1">
      <c r="Q266" s="179"/>
    </row>
    <row r="267" ht="15.75" customHeight="1">
      <c r="Q267" s="179"/>
    </row>
    <row r="268" ht="15.75" customHeight="1">
      <c r="Q268" s="179"/>
    </row>
    <row r="269" ht="15.75" customHeight="1">
      <c r="Q269" s="179"/>
    </row>
    <row r="270" ht="15.75" customHeight="1">
      <c r="Q270" s="179"/>
    </row>
    <row r="271" ht="15.75" customHeight="1">
      <c r="Q271" s="179"/>
    </row>
    <row r="272" ht="15.75" customHeight="1">
      <c r="Q272" s="179"/>
    </row>
    <row r="273" ht="15.75" customHeight="1">
      <c r="Q273" s="179"/>
    </row>
    <row r="274" ht="15.75" customHeight="1">
      <c r="Q274" s="179"/>
    </row>
    <row r="275" ht="15.75" customHeight="1">
      <c r="Q275" s="179"/>
    </row>
    <row r="276" ht="15.75" customHeight="1">
      <c r="Q276" s="179"/>
    </row>
    <row r="277" ht="15.75" customHeight="1">
      <c r="Q277" s="179"/>
    </row>
    <row r="278" ht="15.75" customHeight="1">
      <c r="Q278" s="179"/>
    </row>
    <row r="279" ht="15.75" customHeight="1">
      <c r="Q279" s="179"/>
    </row>
    <row r="280" ht="15.75" customHeight="1">
      <c r="Q280" s="179"/>
    </row>
    <row r="281" ht="15.75" customHeight="1">
      <c r="Q281" s="179"/>
    </row>
    <row r="282" ht="15.75" customHeight="1">
      <c r="Q282" s="179"/>
    </row>
    <row r="283" ht="15.75" customHeight="1">
      <c r="Q283" s="179"/>
    </row>
    <row r="284" ht="15.75" customHeight="1">
      <c r="Q284" s="179"/>
    </row>
    <row r="285" ht="15.75" customHeight="1">
      <c r="Q285" s="179"/>
    </row>
    <row r="286" ht="15.75" customHeight="1">
      <c r="Q286" s="179"/>
    </row>
    <row r="287" ht="15.75" customHeight="1">
      <c r="Q287" s="179"/>
    </row>
    <row r="288" ht="15.75" customHeight="1">
      <c r="Q288" s="179"/>
    </row>
    <row r="289" ht="15.75" customHeight="1">
      <c r="Q289" s="179"/>
    </row>
    <row r="290" ht="15.75" customHeight="1">
      <c r="Q290" s="179"/>
    </row>
    <row r="291" ht="15.75" customHeight="1">
      <c r="Q291" s="179"/>
    </row>
    <row r="292" ht="15.75" customHeight="1">
      <c r="Q292" s="179"/>
    </row>
    <row r="293" ht="15.75" customHeight="1">
      <c r="Q293" s="179"/>
    </row>
    <row r="294" ht="15.75" customHeight="1">
      <c r="Q294" s="179"/>
    </row>
    <row r="295" ht="15.75" customHeight="1">
      <c r="Q295" s="179"/>
    </row>
    <row r="296" ht="15.75" customHeight="1">
      <c r="Q296" s="179"/>
    </row>
    <row r="297" ht="15.75" customHeight="1">
      <c r="Q297" s="179"/>
    </row>
    <row r="298" ht="15.75" customHeight="1">
      <c r="Q298" s="179"/>
    </row>
    <row r="299" ht="15.75" customHeight="1">
      <c r="Q299" s="179"/>
    </row>
    <row r="300" ht="15.75" customHeight="1">
      <c r="Q300" s="179"/>
    </row>
    <row r="301" ht="15.75" customHeight="1">
      <c r="Q301" s="179"/>
    </row>
    <row r="302" ht="15.75" customHeight="1">
      <c r="Q302" s="179"/>
    </row>
    <row r="303" ht="15.75" customHeight="1">
      <c r="Q303" s="179"/>
    </row>
    <row r="304" ht="15.75" customHeight="1">
      <c r="Q304" s="179"/>
    </row>
    <row r="305" ht="15.75" customHeight="1">
      <c r="Q305" s="179"/>
    </row>
    <row r="306" ht="15.75" customHeight="1">
      <c r="Q306" s="179"/>
    </row>
    <row r="307" ht="15.75" customHeight="1">
      <c r="Q307" s="179"/>
    </row>
    <row r="308" ht="15.75" customHeight="1">
      <c r="Q308" s="179"/>
    </row>
    <row r="309" ht="15.75" customHeight="1">
      <c r="Q309" s="179"/>
    </row>
    <row r="310" ht="15.75" customHeight="1">
      <c r="Q310" s="179"/>
    </row>
    <row r="311" ht="15.75" customHeight="1">
      <c r="Q311" s="179"/>
    </row>
    <row r="312" ht="15.75" customHeight="1">
      <c r="Q312" s="179"/>
    </row>
    <row r="313" ht="15.75" customHeight="1">
      <c r="Q313" s="179"/>
    </row>
    <row r="314" ht="15.75" customHeight="1">
      <c r="Q314" s="179"/>
    </row>
    <row r="315" ht="15.75" customHeight="1">
      <c r="Q315" s="179"/>
    </row>
    <row r="316" ht="15.75" customHeight="1">
      <c r="Q316" s="179"/>
    </row>
    <row r="317" ht="15.75" customHeight="1">
      <c r="Q317" s="179"/>
    </row>
    <row r="318" ht="15.75" customHeight="1">
      <c r="Q318" s="179"/>
    </row>
    <row r="319" ht="15.75" customHeight="1">
      <c r="Q319" s="179"/>
    </row>
    <row r="320" ht="15.75" customHeight="1">
      <c r="Q320" s="179"/>
    </row>
    <row r="321" ht="15.75" customHeight="1">
      <c r="Q321" s="179"/>
    </row>
    <row r="322" ht="15.75" customHeight="1">
      <c r="Q322" s="179"/>
    </row>
    <row r="323" ht="15.75" customHeight="1">
      <c r="Q323" s="179"/>
    </row>
    <row r="324" ht="15.75" customHeight="1">
      <c r="Q324" s="179"/>
    </row>
    <row r="325" ht="15.75" customHeight="1">
      <c r="Q325" s="179"/>
    </row>
    <row r="326" ht="15.75" customHeight="1">
      <c r="Q326" s="179"/>
    </row>
    <row r="327" ht="15.75" customHeight="1">
      <c r="Q327" s="179"/>
    </row>
    <row r="328" ht="15.75" customHeight="1">
      <c r="Q328" s="179"/>
    </row>
    <row r="329" ht="15.75" customHeight="1">
      <c r="Q329" s="179"/>
    </row>
    <row r="330" ht="15.75" customHeight="1">
      <c r="Q330" s="179"/>
    </row>
    <row r="331" ht="15.75" customHeight="1">
      <c r="Q331" s="179"/>
    </row>
    <row r="332" ht="15.75" customHeight="1">
      <c r="Q332" s="179"/>
    </row>
    <row r="333" ht="15.75" customHeight="1">
      <c r="Q333" s="179"/>
    </row>
    <row r="334" ht="15.75" customHeight="1">
      <c r="Q334" s="179"/>
    </row>
    <row r="335" ht="15.75" customHeight="1">
      <c r="Q335" s="179"/>
    </row>
    <row r="336" ht="15.75" customHeight="1">
      <c r="Q336" s="179"/>
    </row>
    <row r="337" ht="15.75" customHeight="1">
      <c r="Q337" s="179"/>
    </row>
    <row r="338" ht="15.75" customHeight="1">
      <c r="Q338" s="179"/>
    </row>
    <row r="339" ht="15.75" customHeight="1">
      <c r="Q339" s="179"/>
    </row>
    <row r="340" ht="15.75" customHeight="1">
      <c r="Q340" s="179"/>
    </row>
    <row r="341" ht="15.75" customHeight="1">
      <c r="Q341" s="179"/>
    </row>
    <row r="342" ht="15.75" customHeight="1">
      <c r="Q342" s="179"/>
    </row>
    <row r="343" ht="15.75" customHeight="1">
      <c r="Q343" s="179"/>
    </row>
    <row r="344" ht="15.75" customHeight="1">
      <c r="Q344" s="179"/>
    </row>
    <row r="345" ht="15.75" customHeight="1">
      <c r="Q345" s="179"/>
    </row>
    <row r="346" ht="15.75" customHeight="1">
      <c r="Q346" s="179"/>
    </row>
    <row r="347" ht="15.75" customHeight="1">
      <c r="Q347" s="179"/>
    </row>
    <row r="348" ht="15.75" customHeight="1">
      <c r="Q348" s="179"/>
    </row>
    <row r="349" ht="15.75" customHeight="1">
      <c r="Q349" s="179"/>
    </row>
    <row r="350" ht="15.75" customHeight="1">
      <c r="Q350" s="179"/>
    </row>
    <row r="351" ht="15.75" customHeight="1">
      <c r="Q351" s="179"/>
    </row>
    <row r="352" ht="15.75" customHeight="1">
      <c r="Q352" s="179"/>
    </row>
    <row r="353" ht="15.75" customHeight="1">
      <c r="Q353" s="179"/>
    </row>
    <row r="354" ht="15.75" customHeight="1">
      <c r="Q354" s="179"/>
    </row>
    <row r="355" ht="15.75" customHeight="1">
      <c r="Q355" s="179"/>
    </row>
    <row r="356" ht="15.75" customHeight="1">
      <c r="Q356" s="179"/>
    </row>
    <row r="357" ht="15.75" customHeight="1">
      <c r="Q357" s="179"/>
    </row>
    <row r="358" ht="15.75" customHeight="1">
      <c r="Q358" s="179"/>
    </row>
    <row r="359" ht="15.75" customHeight="1">
      <c r="Q359" s="179"/>
    </row>
    <row r="360" ht="15.75" customHeight="1">
      <c r="Q360" s="179"/>
    </row>
    <row r="361" ht="15.75" customHeight="1">
      <c r="Q361" s="179"/>
    </row>
    <row r="362" ht="15.75" customHeight="1">
      <c r="Q362" s="179"/>
    </row>
    <row r="363" ht="15.75" customHeight="1">
      <c r="Q363" s="179"/>
    </row>
    <row r="364" ht="15.75" customHeight="1">
      <c r="Q364" s="179"/>
    </row>
    <row r="365" ht="15.75" customHeight="1">
      <c r="Q365" s="179"/>
    </row>
    <row r="366" ht="15.75" customHeight="1">
      <c r="Q366" s="179"/>
    </row>
    <row r="367" ht="15.75" customHeight="1">
      <c r="Q367" s="179"/>
    </row>
    <row r="368" ht="15.75" customHeight="1">
      <c r="Q368" s="179"/>
    </row>
    <row r="369" ht="15.75" customHeight="1">
      <c r="Q369" s="179"/>
    </row>
    <row r="370" ht="15.75" customHeight="1">
      <c r="Q370" s="179"/>
    </row>
    <row r="371" ht="15.75" customHeight="1">
      <c r="Q371" s="179"/>
    </row>
    <row r="372" ht="15.75" customHeight="1">
      <c r="Q372" s="179"/>
    </row>
    <row r="373" ht="15.75" customHeight="1">
      <c r="Q373" s="179"/>
    </row>
    <row r="374" ht="15.75" customHeight="1">
      <c r="Q374" s="179"/>
    </row>
    <row r="375" ht="15.75" customHeight="1">
      <c r="Q375" s="179"/>
    </row>
    <row r="376" ht="15.75" customHeight="1">
      <c r="Q376" s="179"/>
    </row>
    <row r="377" ht="15.75" customHeight="1">
      <c r="Q377" s="179"/>
    </row>
    <row r="378" ht="15.75" customHeight="1">
      <c r="Q378" s="179"/>
    </row>
    <row r="379" ht="15.75" customHeight="1">
      <c r="Q379" s="179"/>
    </row>
    <row r="380" ht="15.75" customHeight="1">
      <c r="Q380" s="179"/>
    </row>
    <row r="381" ht="15.75" customHeight="1">
      <c r="Q381" s="179"/>
    </row>
    <row r="382" ht="15.75" customHeight="1">
      <c r="Q382" s="179"/>
    </row>
    <row r="383" ht="15.75" customHeight="1">
      <c r="Q383" s="179"/>
    </row>
    <row r="384" ht="15.75" customHeight="1">
      <c r="Q384" s="179"/>
    </row>
    <row r="385" ht="15.75" customHeight="1">
      <c r="Q385" s="179"/>
    </row>
    <row r="386" ht="15.75" customHeight="1">
      <c r="Q386" s="179"/>
    </row>
    <row r="387" ht="15.75" customHeight="1">
      <c r="Q387" s="179"/>
    </row>
    <row r="388" ht="15.75" customHeight="1">
      <c r="Q388" s="179"/>
    </row>
    <row r="389" ht="15.75" customHeight="1">
      <c r="Q389" s="179"/>
    </row>
    <row r="390" ht="15.75" customHeight="1">
      <c r="Q390" s="179"/>
    </row>
    <row r="391" ht="15.75" customHeight="1">
      <c r="Q391" s="179"/>
    </row>
    <row r="392" ht="15.75" customHeight="1">
      <c r="Q392" s="179"/>
    </row>
    <row r="393" ht="15.75" customHeight="1">
      <c r="Q393" s="179"/>
    </row>
    <row r="394" ht="15.75" customHeight="1">
      <c r="Q394" s="179"/>
    </row>
    <row r="395" ht="15.75" customHeight="1">
      <c r="Q395" s="179"/>
    </row>
    <row r="396" ht="15.75" customHeight="1">
      <c r="Q396" s="179"/>
    </row>
    <row r="397" ht="15.75" customHeight="1">
      <c r="Q397" s="179"/>
    </row>
    <row r="398" ht="15.75" customHeight="1">
      <c r="Q398" s="179"/>
    </row>
    <row r="399" ht="15.75" customHeight="1">
      <c r="Q399" s="179"/>
    </row>
    <row r="400" ht="15.75" customHeight="1">
      <c r="Q400" s="179"/>
    </row>
    <row r="401" ht="15.75" customHeight="1">
      <c r="Q401" s="179"/>
    </row>
    <row r="402" ht="15.75" customHeight="1">
      <c r="Q402" s="179"/>
    </row>
    <row r="403" ht="15.75" customHeight="1">
      <c r="Q403" s="179"/>
    </row>
    <row r="404" ht="15.75" customHeight="1">
      <c r="Q404" s="179"/>
    </row>
    <row r="405" ht="15.75" customHeight="1">
      <c r="Q405" s="179"/>
    </row>
    <row r="406" ht="15.75" customHeight="1">
      <c r="Q406" s="179"/>
    </row>
    <row r="407" ht="15.75" customHeight="1">
      <c r="Q407" s="179"/>
    </row>
    <row r="408" ht="15.75" customHeight="1">
      <c r="Q408" s="179"/>
    </row>
    <row r="409" ht="15.75" customHeight="1">
      <c r="Q409" s="179"/>
    </row>
    <row r="410" ht="15.75" customHeight="1">
      <c r="Q410" s="179"/>
    </row>
    <row r="411" ht="15.75" customHeight="1">
      <c r="Q411" s="179"/>
    </row>
    <row r="412" ht="15.75" customHeight="1">
      <c r="Q412" s="179"/>
    </row>
    <row r="413" ht="15.75" customHeight="1">
      <c r="Q413" s="179"/>
    </row>
    <row r="414" ht="15.75" customHeight="1">
      <c r="Q414" s="179"/>
    </row>
    <row r="415" ht="15.75" customHeight="1">
      <c r="Q415" s="179"/>
    </row>
    <row r="416" ht="15.75" customHeight="1">
      <c r="Q416" s="179"/>
    </row>
    <row r="417" ht="15.75" customHeight="1">
      <c r="Q417" s="179"/>
    </row>
    <row r="418" ht="15.75" customHeight="1">
      <c r="Q418" s="179"/>
    </row>
    <row r="419" ht="15.75" customHeight="1">
      <c r="Q419" s="179"/>
    </row>
    <row r="420" ht="15.75" customHeight="1">
      <c r="Q420" s="179"/>
    </row>
    <row r="421" ht="15.75" customHeight="1">
      <c r="Q421" s="179"/>
    </row>
    <row r="422" ht="15.75" customHeight="1">
      <c r="Q422" s="179"/>
    </row>
    <row r="423" ht="15.75" customHeight="1">
      <c r="Q423" s="179"/>
    </row>
    <row r="424" ht="15.75" customHeight="1">
      <c r="Q424" s="179"/>
    </row>
    <row r="425" ht="15.75" customHeight="1">
      <c r="Q425" s="179"/>
    </row>
    <row r="426" ht="15.75" customHeight="1">
      <c r="Q426" s="179"/>
    </row>
    <row r="427" ht="15.75" customHeight="1">
      <c r="Q427" s="179"/>
    </row>
    <row r="428" ht="15.75" customHeight="1">
      <c r="Q428" s="179"/>
    </row>
    <row r="429" ht="15.75" customHeight="1">
      <c r="Q429" s="179"/>
    </row>
    <row r="430" ht="15.75" customHeight="1">
      <c r="Q430" s="179"/>
    </row>
    <row r="431" ht="15.75" customHeight="1">
      <c r="Q431" s="179"/>
    </row>
    <row r="432" ht="15.75" customHeight="1">
      <c r="Q432" s="179"/>
    </row>
    <row r="433" ht="15.75" customHeight="1">
      <c r="Q433" s="179"/>
    </row>
    <row r="434" ht="15.75" customHeight="1">
      <c r="Q434" s="179"/>
    </row>
    <row r="435" ht="15.75" customHeight="1">
      <c r="Q435" s="179"/>
    </row>
    <row r="436" ht="15.75" customHeight="1">
      <c r="Q436" s="179"/>
    </row>
    <row r="437" ht="15.75" customHeight="1">
      <c r="Q437" s="179"/>
    </row>
    <row r="438" ht="15.75" customHeight="1">
      <c r="Q438" s="179"/>
    </row>
    <row r="439" ht="15.75" customHeight="1">
      <c r="Q439" s="179"/>
    </row>
    <row r="440" ht="15.75" customHeight="1">
      <c r="Q440" s="179"/>
    </row>
    <row r="441" ht="15.75" customHeight="1">
      <c r="Q441" s="179"/>
    </row>
    <row r="442" ht="15.75" customHeight="1">
      <c r="Q442" s="179"/>
    </row>
    <row r="443" ht="15.75" customHeight="1">
      <c r="Q443" s="179"/>
    </row>
    <row r="444" ht="15.75" customHeight="1">
      <c r="Q444" s="179"/>
    </row>
    <row r="445" ht="15.75" customHeight="1">
      <c r="Q445" s="179"/>
    </row>
    <row r="446" ht="15.75" customHeight="1">
      <c r="Q446" s="179"/>
    </row>
    <row r="447" ht="15.75" customHeight="1">
      <c r="Q447" s="179"/>
    </row>
    <row r="448" ht="15.75" customHeight="1">
      <c r="Q448" s="179"/>
    </row>
    <row r="449" ht="15.75" customHeight="1">
      <c r="Q449" s="179"/>
    </row>
    <row r="450" ht="15.75" customHeight="1">
      <c r="Q450" s="179"/>
    </row>
    <row r="451" ht="15.75" customHeight="1">
      <c r="Q451" s="179"/>
    </row>
    <row r="452" ht="15.75" customHeight="1">
      <c r="Q452" s="179"/>
    </row>
    <row r="453" ht="15.75" customHeight="1">
      <c r="Q453" s="179"/>
    </row>
    <row r="454" ht="15.75" customHeight="1">
      <c r="Q454" s="179"/>
    </row>
    <row r="455" ht="15.75" customHeight="1">
      <c r="Q455" s="179"/>
    </row>
    <row r="456" ht="15.75" customHeight="1">
      <c r="Q456" s="179"/>
    </row>
    <row r="457" ht="15.75" customHeight="1">
      <c r="Q457" s="179"/>
    </row>
    <row r="458" ht="15.75" customHeight="1">
      <c r="Q458" s="179"/>
    </row>
    <row r="459" ht="15.75" customHeight="1">
      <c r="Q459" s="179"/>
    </row>
    <row r="460" ht="15.75" customHeight="1">
      <c r="Q460" s="179"/>
    </row>
    <row r="461" ht="15.75" customHeight="1">
      <c r="Q461" s="179"/>
    </row>
    <row r="462" ht="15.75" customHeight="1">
      <c r="Q462" s="179"/>
    </row>
    <row r="463" ht="15.75" customHeight="1">
      <c r="Q463" s="179"/>
    </row>
    <row r="464" ht="15.75" customHeight="1">
      <c r="Q464" s="179"/>
    </row>
    <row r="465" ht="15.75" customHeight="1">
      <c r="Q465" s="179"/>
    </row>
    <row r="466" ht="15.75" customHeight="1">
      <c r="Q466" s="179"/>
    </row>
    <row r="467" ht="15.75" customHeight="1">
      <c r="Q467" s="179"/>
    </row>
    <row r="468" ht="15.75" customHeight="1">
      <c r="Q468" s="179"/>
    </row>
    <row r="469" ht="15.75" customHeight="1">
      <c r="Q469" s="179"/>
    </row>
    <row r="470" ht="15.75" customHeight="1">
      <c r="Q470" s="179"/>
    </row>
    <row r="471" ht="15.75" customHeight="1">
      <c r="Q471" s="179"/>
    </row>
    <row r="472" ht="15.75" customHeight="1">
      <c r="Q472" s="179"/>
    </row>
    <row r="473" ht="15.75" customHeight="1">
      <c r="Q473" s="179"/>
    </row>
    <row r="474" ht="15.75" customHeight="1">
      <c r="Q474" s="179"/>
    </row>
    <row r="475" ht="15.75" customHeight="1">
      <c r="Q475" s="179"/>
    </row>
    <row r="476" ht="15.75" customHeight="1">
      <c r="Q476" s="179"/>
    </row>
    <row r="477" ht="15.75" customHeight="1">
      <c r="Q477" s="179"/>
    </row>
    <row r="478" ht="15.75" customHeight="1">
      <c r="Q478" s="179"/>
    </row>
    <row r="479" ht="15.75" customHeight="1">
      <c r="Q479" s="179"/>
    </row>
    <row r="480" ht="15.75" customHeight="1">
      <c r="Q480" s="179"/>
    </row>
    <row r="481" ht="15.75" customHeight="1">
      <c r="Q481" s="179"/>
    </row>
    <row r="482" ht="15.75" customHeight="1">
      <c r="Q482" s="179"/>
    </row>
    <row r="483" ht="15.75" customHeight="1">
      <c r="Q483" s="179"/>
    </row>
    <row r="484" ht="15.75" customHeight="1">
      <c r="Q484" s="179"/>
    </row>
    <row r="485" ht="15.75" customHeight="1">
      <c r="Q485" s="179"/>
    </row>
    <row r="486" ht="15.75" customHeight="1">
      <c r="Q486" s="179"/>
    </row>
    <row r="487" ht="15.75" customHeight="1">
      <c r="Q487" s="179"/>
    </row>
    <row r="488" ht="15.75" customHeight="1">
      <c r="Q488" s="179"/>
    </row>
    <row r="489" ht="15.75" customHeight="1">
      <c r="Q489" s="179"/>
    </row>
    <row r="490" ht="15.75" customHeight="1">
      <c r="Q490" s="179"/>
    </row>
    <row r="491" ht="15.75" customHeight="1">
      <c r="Q491" s="179"/>
    </row>
    <row r="492" ht="15.75" customHeight="1">
      <c r="Q492" s="179"/>
    </row>
    <row r="493" ht="15.75" customHeight="1">
      <c r="Q493" s="179"/>
    </row>
    <row r="494" ht="15.75" customHeight="1">
      <c r="Q494" s="179"/>
    </row>
    <row r="495" ht="15.75" customHeight="1">
      <c r="Q495" s="179"/>
    </row>
    <row r="496" ht="15.75" customHeight="1">
      <c r="Q496" s="179"/>
    </row>
    <row r="497" ht="15.75" customHeight="1">
      <c r="Q497" s="179"/>
    </row>
    <row r="498" ht="15.75" customHeight="1">
      <c r="Q498" s="179"/>
    </row>
    <row r="499" ht="15.75" customHeight="1">
      <c r="Q499" s="179"/>
    </row>
    <row r="500" ht="15.75" customHeight="1">
      <c r="Q500" s="179"/>
    </row>
    <row r="501" ht="15.75" customHeight="1">
      <c r="Q501" s="179"/>
    </row>
    <row r="502" ht="15.75" customHeight="1">
      <c r="Q502" s="179"/>
    </row>
    <row r="503" ht="15.75" customHeight="1">
      <c r="Q503" s="179"/>
    </row>
    <row r="504" ht="15.75" customHeight="1">
      <c r="Q504" s="179"/>
    </row>
    <row r="505" ht="15.75" customHeight="1">
      <c r="Q505" s="179"/>
    </row>
    <row r="506" ht="15.75" customHeight="1">
      <c r="Q506" s="179"/>
    </row>
    <row r="507" ht="15.75" customHeight="1">
      <c r="Q507" s="179"/>
    </row>
    <row r="508" ht="15.75" customHeight="1">
      <c r="Q508" s="179"/>
    </row>
    <row r="509" ht="15.75" customHeight="1">
      <c r="Q509" s="179"/>
    </row>
    <row r="510" ht="15.75" customHeight="1">
      <c r="Q510" s="179"/>
    </row>
    <row r="511" ht="15.75" customHeight="1">
      <c r="Q511" s="179"/>
    </row>
    <row r="512" ht="15.75" customHeight="1">
      <c r="Q512" s="179"/>
    </row>
    <row r="513" ht="15.75" customHeight="1">
      <c r="Q513" s="179"/>
    </row>
    <row r="514" ht="15.75" customHeight="1">
      <c r="Q514" s="179"/>
    </row>
    <row r="515" ht="15.75" customHeight="1">
      <c r="Q515" s="179"/>
    </row>
    <row r="516" ht="15.75" customHeight="1">
      <c r="Q516" s="179"/>
    </row>
    <row r="517" ht="15.75" customHeight="1">
      <c r="Q517" s="179"/>
    </row>
    <row r="518" ht="15.75" customHeight="1">
      <c r="Q518" s="179"/>
    </row>
    <row r="519" ht="15.75" customHeight="1">
      <c r="Q519" s="179"/>
    </row>
    <row r="520" ht="15.75" customHeight="1">
      <c r="Q520" s="179"/>
    </row>
    <row r="521" ht="15.75" customHeight="1">
      <c r="Q521" s="179"/>
    </row>
    <row r="522" ht="15.75" customHeight="1">
      <c r="Q522" s="179"/>
    </row>
    <row r="523" ht="15.75" customHeight="1">
      <c r="Q523" s="179"/>
    </row>
    <row r="524" ht="15.75" customHeight="1">
      <c r="Q524" s="179"/>
    </row>
    <row r="525" ht="15.75" customHeight="1">
      <c r="Q525" s="179"/>
    </row>
    <row r="526" ht="15.75" customHeight="1">
      <c r="Q526" s="179"/>
    </row>
    <row r="527" ht="15.75" customHeight="1">
      <c r="Q527" s="179"/>
    </row>
    <row r="528" ht="15.75" customHeight="1">
      <c r="Q528" s="179"/>
    </row>
    <row r="529" ht="15.75" customHeight="1">
      <c r="Q529" s="179"/>
    </row>
    <row r="530" ht="15.75" customHeight="1">
      <c r="Q530" s="179"/>
    </row>
    <row r="531" ht="15.75" customHeight="1">
      <c r="Q531" s="179"/>
    </row>
    <row r="532" ht="15.75" customHeight="1">
      <c r="Q532" s="179"/>
    </row>
    <row r="533" ht="15.75" customHeight="1">
      <c r="Q533" s="179"/>
    </row>
    <row r="534" ht="15.75" customHeight="1">
      <c r="Q534" s="179"/>
    </row>
    <row r="535" ht="15.75" customHeight="1">
      <c r="Q535" s="179"/>
    </row>
    <row r="536" ht="15.75" customHeight="1">
      <c r="Q536" s="179"/>
    </row>
    <row r="537" ht="15.75" customHeight="1">
      <c r="Q537" s="179"/>
    </row>
    <row r="538" ht="15.75" customHeight="1">
      <c r="Q538" s="179"/>
    </row>
    <row r="539" ht="15.75" customHeight="1">
      <c r="Q539" s="179"/>
    </row>
    <row r="540" ht="15.75" customHeight="1">
      <c r="Q540" s="179"/>
    </row>
    <row r="541" ht="15.75" customHeight="1">
      <c r="Q541" s="179"/>
    </row>
    <row r="542" ht="15.75" customHeight="1">
      <c r="Q542" s="179"/>
    </row>
    <row r="543" ht="15.75" customHeight="1">
      <c r="Q543" s="179"/>
    </row>
    <row r="544" ht="15.75" customHeight="1">
      <c r="Q544" s="179"/>
    </row>
    <row r="545" ht="15.75" customHeight="1">
      <c r="Q545" s="179"/>
    </row>
    <row r="546" ht="15.75" customHeight="1">
      <c r="Q546" s="179"/>
    </row>
    <row r="547" ht="15.75" customHeight="1">
      <c r="Q547" s="179"/>
    </row>
    <row r="548" ht="15.75" customHeight="1">
      <c r="Q548" s="179"/>
    </row>
    <row r="549" ht="15.75" customHeight="1">
      <c r="Q549" s="179"/>
    </row>
    <row r="550" ht="15.75" customHeight="1">
      <c r="Q550" s="179"/>
    </row>
    <row r="551" ht="15.75" customHeight="1">
      <c r="Q551" s="179"/>
    </row>
    <row r="552" ht="15.75" customHeight="1">
      <c r="Q552" s="179"/>
    </row>
    <row r="553" ht="15.75" customHeight="1">
      <c r="Q553" s="179"/>
    </row>
    <row r="554" ht="15.75" customHeight="1">
      <c r="Q554" s="179"/>
    </row>
    <row r="555" ht="15.75" customHeight="1">
      <c r="Q555" s="179"/>
    </row>
    <row r="556" ht="15.75" customHeight="1">
      <c r="Q556" s="179"/>
    </row>
    <row r="557" ht="15.75" customHeight="1">
      <c r="Q557" s="179"/>
    </row>
    <row r="558" ht="15.75" customHeight="1">
      <c r="Q558" s="179"/>
    </row>
    <row r="559" ht="15.75" customHeight="1">
      <c r="Q559" s="179"/>
    </row>
    <row r="560" ht="15.75" customHeight="1">
      <c r="Q560" s="179"/>
    </row>
    <row r="561" ht="15.75" customHeight="1">
      <c r="Q561" s="179"/>
    </row>
    <row r="562" ht="15.75" customHeight="1">
      <c r="Q562" s="179"/>
    </row>
    <row r="563" ht="15.75" customHeight="1">
      <c r="Q563" s="179"/>
    </row>
    <row r="564" ht="15.75" customHeight="1">
      <c r="Q564" s="179"/>
    </row>
    <row r="565" ht="15.75" customHeight="1">
      <c r="Q565" s="179"/>
    </row>
    <row r="566" ht="15.75" customHeight="1">
      <c r="Q566" s="179"/>
    </row>
    <row r="567" ht="15.75" customHeight="1">
      <c r="Q567" s="179"/>
    </row>
    <row r="568" ht="15.75" customHeight="1">
      <c r="Q568" s="179"/>
    </row>
    <row r="569" ht="15.75" customHeight="1">
      <c r="Q569" s="179"/>
    </row>
    <row r="570" ht="15.75" customHeight="1">
      <c r="Q570" s="179"/>
    </row>
    <row r="571" ht="15.75" customHeight="1">
      <c r="Q571" s="179"/>
    </row>
    <row r="572" ht="15.75" customHeight="1">
      <c r="Q572" s="179"/>
    </row>
    <row r="573" ht="15.75" customHeight="1">
      <c r="Q573" s="179"/>
    </row>
    <row r="574" ht="15.75" customHeight="1">
      <c r="Q574" s="179"/>
    </row>
    <row r="575" ht="15.75" customHeight="1">
      <c r="Q575" s="179"/>
    </row>
    <row r="576" ht="15.75" customHeight="1">
      <c r="Q576" s="179"/>
    </row>
    <row r="577" ht="15.75" customHeight="1">
      <c r="Q577" s="179"/>
    </row>
    <row r="578" ht="15.75" customHeight="1">
      <c r="Q578" s="179"/>
    </row>
    <row r="579" ht="15.75" customHeight="1">
      <c r="Q579" s="179"/>
    </row>
    <row r="580" ht="15.75" customHeight="1">
      <c r="Q580" s="179"/>
    </row>
    <row r="581" ht="15.75" customHeight="1">
      <c r="Q581" s="179"/>
    </row>
    <row r="582" ht="15.75" customHeight="1">
      <c r="Q582" s="179"/>
    </row>
    <row r="583" ht="15.75" customHeight="1">
      <c r="Q583" s="179"/>
    </row>
    <row r="584" ht="15.75" customHeight="1">
      <c r="Q584" s="179"/>
    </row>
    <row r="585" ht="15.75" customHeight="1">
      <c r="Q585" s="179"/>
    </row>
    <row r="586" ht="15.75" customHeight="1">
      <c r="Q586" s="179"/>
    </row>
    <row r="587" ht="15.75" customHeight="1">
      <c r="Q587" s="179"/>
    </row>
    <row r="588" ht="15.75" customHeight="1">
      <c r="Q588" s="179"/>
    </row>
    <row r="589" ht="15.75" customHeight="1">
      <c r="Q589" s="179"/>
    </row>
    <row r="590" ht="15.75" customHeight="1">
      <c r="Q590" s="179"/>
    </row>
    <row r="591" ht="15.75" customHeight="1">
      <c r="Q591" s="179"/>
    </row>
    <row r="592" ht="15.75" customHeight="1">
      <c r="Q592" s="179"/>
    </row>
    <row r="593" ht="15.75" customHeight="1">
      <c r="Q593" s="179"/>
    </row>
    <row r="594" ht="15.75" customHeight="1">
      <c r="Q594" s="179"/>
    </row>
    <row r="595" ht="15.75" customHeight="1">
      <c r="Q595" s="179"/>
    </row>
    <row r="596" ht="15.75" customHeight="1">
      <c r="Q596" s="179"/>
    </row>
    <row r="597" ht="15.75" customHeight="1">
      <c r="Q597" s="179"/>
    </row>
    <row r="598" ht="15.75" customHeight="1">
      <c r="Q598" s="179"/>
    </row>
    <row r="599" ht="15.75" customHeight="1">
      <c r="Q599" s="179"/>
    </row>
    <row r="600" ht="15.75" customHeight="1">
      <c r="Q600" s="179"/>
    </row>
    <row r="601" ht="15.75" customHeight="1">
      <c r="Q601" s="179"/>
    </row>
    <row r="602" ht="15.75" customHeight="1">
      <c r="Q602" s="179"/>
    </row>
    <row r="603" ht="15.75" customHeight="1">
      <c r="Q603" s="179"/>
    </row>
    <row r="604" ht="15.75" customHeight="1">
      <c r="Q604" s="179"/>
    </row>
    <row r="605" ht="15.75" customHeight="1">
      <c r="Q605" s="179"/>
    </row>
    <row r="606" ht="15.75" customHeight="1">
      <c r="Q606" s="179"/>
    </row>
    <row r="607" ht="15.75" customHeight="1">
      <c r="Q607" s="179"/>
    </row>
    <row r="608" ht="15.75" customHeight="1">
      <c r="Q608" s="179"/>
    </row>
    <row r="609" ht="15.75" customHeight="1">
      <c r="Q609" s="179"/>
    </row>
    <row r="610" ht="15.75" customHeight="1">
      <c r="Q610" s="179"/>
    </row>
    <row r="611" ht="15.75" customHeight="1">
      <c r="Q611" s="179"/>
    </row>
    <row r="612" ht="15.75" customHeight="1">
      <c r="Q612" s="179"/>
    </row>
    <row r="613" ht="15.75" customHeight="1">
      <c r="Q613" s="179"/>
    </row>
    <row r="614" ht="15.75" customHeight="1">
      <c r="Q614" s="179"/>
    </row>
    <row r="615" ht="15.75" customHeight="1">
      <c r="Q615" s="179"/>
    </row>
    <row r="616" ht="15.75" customHeight="1">
      <c r="Q616" s="179"/>
    </row>
    <row r="617" ht="15.75" customHeight="1">
      <c r="Q617" s="179"/>
    </row>
    <row r="618" ht="15.75" customHeight="1">
      <c r="Q618" s="179"/>
    </row>
    <row r="619" ht="15.75" customHeight="1">
      <c r="Q619" s="179"/>
    </row>
    <row r="620" ht="15.75" customHeight="1">
      <c r="Q620" s="179"/>
    </row>
    <row r="621" ht="15.75" customHeight="1">
      <c r="Q621" s="179"/>
    </row>
    <row r="622" ht="15.75" customHeight="1">
      <c r="Q622" s="179"/>
    </row>
    <row r="623" ht="15.75" customHeight="1">
      <c r="Q623" s="179"/>
    </row>
    <row r="624" ht="15.75" customHeight="1">
      <c r="Q624" s="179"/>
    </row>
    <row r="625" ht="15.75" customHeight="1">
      <c r="Q625" s="179"/>
    </row>
    <row r="626" ht="15.75" customHeight="1">
      <c r="Q626" s="179"/>
    </row>
    <row r="627" ht="15.75" customHeight="1">
      <c r="Q627" s="179"/>
    </row>
    <row r="628" ht="15.75" customHeight="1">
      <c r="Q628" s="179"/>
    </row>
    <row r="629" ht="15.75" customHeight="1">
      <c r="Q629" s="179"/>
    </row>
    <row r="630" ht="15.75" customHeight="1">
      <c r="Q630" s="179"/>
    </row>
    <row r="631" ht="15.75" customHeight="1">
      <c r="Q631" s="179"/>
    </row>
    <row r="632" ht="15.75" customHeight="1">
      <c r="Q632" s="179"/>
    </row>
    <row r="633" ht="15.75" customHeight="1">
      <c r="Q633" s="179"/>
    </row>
    <row r="634" ht="15.75" customHeight="1">
      <c r="Q634" s="179"/>
    </row>
    <row r="635" ht="15.75" customHeight="1">
      <c r="Q635" s="179"/>
    </row>
    <row r="636" ht="15.75" customHeight="1">
      <c r="Q636" s="179"/>
    </row>
    <row r="637" ht="15.75" customHeight="1">
      <c r="Q637" s="179"/>
    </row>
    <row r="638" ht="15.75" customHeight="1">
      <c r="Q638" s="179"/>
    </row>
    <row r="639" ht="15.75" customHeight="1">
      <c r="Q639" s="179"/>
    </row>
    <row r="640" ht="15.75" customHeight="1">
      <c r="Q640" s="179"/>
    </row>
    <row r="641" ht="15.75" customHeight="1">
      <c r="Q641" s="179"/>
    </row>
    <row r="642" ht="15.75" customHeight="1">
      <c r="Q642" s="179"/>
    </row>
    <row r="643" ht="15.75" customHeight="1">
      <c r="Q643" s="179"/>
    </row>
    <row r="644" ht="15.75" customHeight="1">
      <c r="Q644" s="179"/>
    </row>
    <row r="645" ht="15.75" customHeight="1">
      <c r="Q645" s="179"/>
    </row>
    <row r="646" ht="15.75" customHeight="1">
      <c r="Q646" s="179"/>
    </row>
    <row r="647" ht="15.75" customHeight="1">
      <c r="Q647" s="179"/>
    </row>
    <row r="648" ht="15.75" customHeight="1">
      <c r="Q648" s="179"/>
    </row>
    <row r="649" ht="15.75" customHeight="1">
      <c r="Q649" s="179"/>
    </row>
    <row r="650" ht="15.75" customHeight="1">
      <c r="Q650" s="179"/>
    </row>
    <row r="651" ht="15.75" customHeight="1">
      <c r="Q651" s="179"/>
    </row>
    <row r="652" ht="15.75" customHeight="1">
      <c r="Q652" s="179"/>
    </row>
    <row r="653" ht="15.75" customHeight="1">
      <c r="Q653" s="179"/>
    </row>
    <row r="654" ht="15.75" customHeight="1">
      <c r="Q654" s="179"/>
    </row>
    <row r="655" ht="15.75" customHeight="1">
      <c r="Q655" s="179"/>
    </row>
    <row r="656" ht="15.75" customHeight="1">
      <c r="Q656" s="179"/>
    </row>
    <row r="657" ht="15.75" customHeight="1">
      <c r="Q657" s="179"/>
    </row>
    <row r="658" ht="15.75" customHeight="1">
      <c r="Q658" s="179"/>
    </row>
    <row r="659" ht="15.75" customHeight="1">
      <c r="Q659" s="179"/>
    </row>
    <row r="660" ht="15.75" customHeight="1">
      <c r="Q660" s="179"/>
    </row>
    <row r="661" ht="15.75" customHeight="1">
      <c r="Q661" s="179"/>
    </row>
    <row r="662" ht="15.75" customHeight="1">
      <c r="Q662" s="179"/>
    </row>
    <row r="663" ht="15.75" customHeight="1">
      <c r="Q663" s="179"/>
    </row>
    <row r="664" ht="15.75" customHeight="1">
      <c r="Q664" s="179"/>
    </row>
    <row r="665" ht="15.75" customHeight="1">
      <c r="Q665" s="179"/>
    </row>
    <row r="666" ht="15.75" customHeight="1">
      <c r="Q666" s="179"/>
    </row>
    <row r="667" ht="15.75" customHeight="1">
      <c r="Q667" s="179"/>
    </row>
    <row r="668" ht="15.75" customHeight="1">
      <c r="Q668" s="179"/>
    </row>
    <row r="669" ht="15.75" customHeight="1">
      <c r="Q669" s="179"/>
    </row>
    <row r="670" ht="15.75" customHeight="1">
      <c r="Q670" s="179"/>
    </row>
    <row r="671" ht="15.75" customHeight="1">
      <c r="Q671" s="179"/>
    </row>
    <row r="672" ht="15.75" customHeight="1">
      <c r="Q672" s="179"/>
    </row>
    <row r="673" ht="15.75" customHeight="1">
      <c r="Q673" s="179"/>
    </row>
    <row r="674" ht="15.75" customHeight="1">
      <c r="Q674" s="179"/>
    </row>
    <row r="675" ht="15.75" customHeight="1">
      <c r="Q675" s="179"/>
    </row>
    <row r="676" ht="15.75" customHeight="1">
      <c r="Q676" s="179"/>
    </row>
    <row r="677" ht="15.75" customHeight="1">
      <c r="Q677" s="179"/>
    </row>
    <row r="678" ht="15.75" customHeight="1">
      <c r="Q678" s="179"/>
    </row>
    <row r="679" ht="15.75" customHeight="1">
      <c r="Q679" s="179"/>
    </row>
    <row r="680" ht="15.75" customHeight="1">
      <c r="Q680" s="179"/>
    </row>
    <row r="681" ht="15.75" customHeight="1">
      <c r="Q681" s="179"/>
    </row>
    <row r="682" ht="15.75" customHeight="1">
      <c r="Q682" s="179"/>
    </row>
    <row r="683" ht="15.75" customHeight="1">
      <c r="Q683" s="179"/>
    </row>
    <row r="684" ht="15.75" customHeight="1">
      <c r="Q684" s="179"/>
    </row>
    <row r="685" ht="15.75" customHeight="1">
      <c r="Q685" s="179"/>
    </row>
    <row r="686" ht="15.75" customHeight="1">
      <c r="Q686" s="179"/>
    </row>
    <row r="687" ht="15.75" customHeight="1">
      <c r="Q687" s="179"/>
    </row>
    <row r="688" ht="15.75" customHeight="1">
      <c r="Q688" s="179"/>
    </row>
    <row r="689" ht="15.75" customHeight="1">
      <c r="Q689" s="179"/>
    </row>
    <row r="690" ht="15.75" customHeight="1">
      <c r="Q690" s="179"/>
    </row>
    <row r="691" ht="15.75" customHeight="1">
      <c r="Q691" s="179"/>
    </row>
    <row r="692" ht="15.75" customHeight="1">
      <c r="Q692" s="179"/>
    </row>
    <row r="693" ht="15.75" customHeight="1">
      <c r="Q693" s="179"/>
    </row>
    <row r="694" ht="15.75" customHeight="1">
      <c r="Q694" s="179"/>
    </row>
    <row r="695" ht="15.75" customHeight="1">
      <c r="Q695" s="179"/>
    </row>
    <row r="696" ht="15.75" customHeight="1">
      <c r="Q696" s="179"/>
    </row>
    <row r="697" ht="15.75" customHeight="1">
      <c r="Q697" s="179"/>
    </row>
    <row r="698" ht="15.75" customHeight="1">
      <c r="Q698" s="179"/>
    </row>
    <row r="699" ht="15.75" customHeight="1">
      <c r="Q699" s="179"/>
    </row>
    <row r="700" ht="15.75" customHeight="1">
      <c r="Q700" s="179"/>
    </row>
    <row r="701" ht="15.75" customHeight="1">
      <c r="Q701" s="179"/>
    </row>
    <row r="702" ht="15.75" customHeight="1">
      <c r="Q702" s="179"/>
    </row>
    <row r="703" ht="15.75" customHeight="1">
      <c r="Q703" s="179"/>
    </row>
    <row r="704" ht="15.75" customHeight="1">
      <c r="Q704" s="179"/>
    </row>
    <row r="705" ht="15.75" customHeight="1">
      <c r="Q705" s="179"/>
    </row>
    <row r="706" ht="15.75" customHeight="1">
      <c r="Q706" s="179"/>
    </row>
    <row r="707" ht="15.75" customHeight="1">
      <c r="Q707" s="179"/>
    </row>
    <row r="708" ht="15.75" customHeight="1">
      <c r="Q708" s="179"/>
    </row>
    <row r="709" ht="15.75" customHeight="1">
      <c r="Q709" s="179"/>
    </row>
    <row r="710" ht="15.75" customHeight="1">
      <c r="Q710" s="179"/>
    </row>
    <row r="711" ht="15.75" customHeight="1">
      <c r="Q711" s="179"/>
    </row>
    <row r="712" ht="15.75" customHeight="1">
      <c r="Q712" s="179"/>
    </row>
    <row r="713" ht="15.75" customHeight="1">
      <c r="Q713" s="179"/>
    </row>
    <row r="714" ht="15.75" customHeight="1">
      <c r="Q714" s="179"/>
    </row>
    <row r="715" ht="15.75" customHeight="1">
      <c r="Q715" s="179"/>
    </row>
    <row r="716" ht="15.75" customHeight="1">
      <c r="Q716" s="179"/>
    </row>
    <row r="717" ht="15.75" customHeight="1">
      <c r="Q717" s="179"/>
    </row>
    <row r="718" ht="15.75" customHeight="1">
      <c r="Q718" s="179"/>
    </row>
    <row r="719" ht="15.75" customHeight="1">
      <c r="Q719" s="179"/>
    </row>
    <row r="720" ht="15.75" customHeight="1">
      <c r="Q720" s="179"/>
    </row>
    <row r="721" ht="15.75" customHeight="1">
      <c r="Q721" s="179"/>
    </row>
    <row r="722" ht="15.75" customHeight="1">
      <c r="Q722" s="179"/>
    </row>
    <row r="723" ht="15.75" customHeight="1">
      <c r="Q723" s="179"/>
    </row>
    <row r="724" ht="15.75" customHeight="1">
      <c r="Q724" s="179"/>
    </row>
    <row r="725" ht="15.75" customHeight="1">
      <c r="Q725" s="179"/>
    </row>
    <row r="726" ht="15.75" customHeight="1">
      <c r="Q726" s="179"/>
    </row>
    <row r="727" ht="15.75" customHeight="1">
      <c r="Q727" s="179"/>
    </row>
    <row r="728" ht="15.75" customHeight="1">
      <c r="Q728" s="179"/>
    </row>
    <row r="729" ht="15.75" customHeight="1">
      <c r="Q729" s="179"/>
    </row>
    <row r="730" ht="15.75" customHeight="1">
      <c r="Q730" s="179"/>
    </row>
    <row r="731" ht="15.75" customHeight="1">
      <c r="Q731" s="179"/>
    </row>
    <row r="732" ht="15.75" customHeight="1">
      <c r="Q732" s="179"/>
    </row>
    <row r="733" ht="15.75" customHeight="1">
      <c r="Q733" s="179"/>
    </row>
    <row r="734" ht="15.75" customHeight="1">
      <c r="Q734" s="179"/>
    </row>
    <row r="735" ht="15.75" customHeight="1">
      <c r="Q735" s="179"/>
    </row>
    <row r="736" ht="15.75" customHeight="1">
      <c r="Q736" s="179"/>
    </row>
    <row r="737" ht="15.75" customHeight="1">
      <c r="Q737" s="179"/>
    </row>
    <row r="738" ht="15.75" customHeight="1">
      <c r="Q738" s="179"/>
    </row>
    <row r="739" ht="15.75" customHeight="1">
      <c r="Q739" s="179"/>
    </row>
    <row r="740" ht="15.75" customHeight="1">
      <c r="Q740" s="179"/>
    </row>
    <row r="741" ht="15.75" customHeight="1">
      <c r="Q741" s="179"/>
    </row>
    <row r="742" ht="15.75" customHeight="1">
      <c r="Q742" s="179"/>
    </row>
    <row r="743" ht="15.75" customHeight="1">
      <c r="Q743" s="179"/>
    </row>
    <row r="744" ht="15.75" customHeight="1">
      <c r="Q744" s="179"/>
    </row>
    <row r="745" ht="15.75" customHeight="1">
      <c r="Q745" s="179"/>
    </row>
    <row r="746" ht="15.75" customHeight="1">
      <c r="Q746" s="179"/>
    </row>
    <row r="747" ht="15.75" customHeight="1">
      <c r="Q747" s="179"/>
    </row>
    <row r="748" ht="15.75" customHeight="1">
      <c r="Q748" s="179"/>
    </row>
    <row r="749" ht="15.75" customHeight="1">
      <c r="Q749" s="179"/>
    </row>
    <row r="750" ht="15.75" customHeight="1">
      <c r="Q750" s="179"/>
    </row>
    <row r="751" ht="15.75" customHeight="1">
      <c r="Q751" s="179"/>
    </row>
    <row r="752" ht="15.75" customHeight="1">
      <c r="Q752" s="179"/>
    </row>
    <row r="753" ht="15.75" customHeight="1">
      <c r="Q753" s="179"/>
    </row>
    <row r="754" ht="15.75" customHeight="1">
      <c r="Q754" s="179"/>
    </row>
    <row r="755" ht="15.75" customHeight="1">
      <c r="Q755" s="179"/>
    </row>
    <row r="756" ht="15.75" customHeight="1">
      <c r="Q756" s="179"/>
    </row>
    <row r="757" ht="15.75" customHeight="1">
      <c r="Q757" s="179"/>
    </row>
    <row r="758" ht="15.75" customHeight="1">
      <c r="Q758" s="179"/>
    </row>
    <row r="759" ht="15.75" customHeight="1">
      <c r="Q759" s="179"/>
    </row>
    <row r="760" ht="15.75" customHeight="1">
      <c r="Q760" s="179"/>
    </row>
    <row r="761" ht="15.75" customHeight="1">
      <c r="Q761" s="179"/>
    </row>
    <row r="762" ht="15.75" customHeight="1">
      <c r="Q762" s="179"/>
    </row>
    <row r="763" ht="15.75" customHeight="1">
      <c r="Q763" s="179"/>
    </row>
    <row r="764" ht="15.75" customHeight="1">
      <c r="Q764" s="179"/>
    </row>
    <row r="765" ht="15.75" customHeight="1">
      <c r="Q765" s="179"/>
    </row>
    <row r="766" ht="15.75" customHeight="1">
      <c r="Q766" s="179"/>
    </row>
    <row r="767" ht="15.75" customHeight="1">
      <c r="Q767" s="179"/>
    </row>
    <row r="768" ht="15.75" customHeight="1">
      <c r="Q768" s="179"/>
    </row>
    <row r="769" ht="15.75" customHeight="1">
      <c r="Q769" s="179"/>
    </row>
    <row r="770" ht="15.75" customHeight="1">
      <c r="Q770" s="179"/>
    </row>
    <row r="771" ht="15.75" customHeight="1">
      <c r="Q771" s="179"/>
    </row>
    <row r="772" ht="15.75" customHeight="1">
      <c r="Q772" s="179"/>
    </row>
    <row r="773" ht="15.75" customHeight="1">
      <c r="Q773" s="179"/>
    </row>
    <row r="774" ht="15.75" customHeight="1">
      <c r="Q774" s="179"/>
    </row>
    <row r="775" ht="15.75" customHeight="1">
      <c r="Q775" s="179"/>
    </row>
    <row r="776" ht="15.75" customHeight="1">
      <c r="Q776" s="179"/>
    </row>
    <row r="777" ht="15.75" customHeight="1">
      <c r="Q777" s="179"/>
    </row>
    <row r="778" ht="15.75" customHeight="1">
      <c r="Q778" s="179"/>
    </row>
    <row r="779" ht="15.75" customHeight="1">
      <c r="Q779" s="179"/>
    </row>
    <row r="780" ht="15.75" customHeight="1">
      <c r="Q780" s="179"/>
    </row>
    <row r="781" ht="15.75" customHeight="1">
      <c r="Q781" s="179"/>
    </row>
    <row r="782" ht="15.75" customHeight="1">
      <c r="Q782" s="179"/>
    </row>
    <row r="783" ht="15.75" customHeight="1">
      <c r="Q783" s="179"/>
    </row>
    <row r="784" ht="15.75" customHeight="1">
      <c r="Q784" s="179"/>
    </row>
    <row r="785" ht="15.75" customHeight="1">
      <c r="Q785" s="179"/>
    </row>
    <row r="786" ht="15.75" customHeight="1">
      <c r="Q786" s="179"/>
    </row>
    <row r="787" ht="15.75" customHeight="1">
      <c r="Q787" s="179"/>
    </row>
    <row r="788" ht="15.75" customHeight="1">
      <c r="Q788" s="179"/>
    </row>
    <row r="789" ht="15.75" customHeight="1">
      <c r="Q789" s="179"/>
    </row>
    <row r="790" ht="15.75" customHeight="1">
      <c r="Q790" s="179"/>
    </row>
    <row r="791" ht="15.75" customHeight="1">
      <c r="Q791" s="179"/>
    </row>
    <row r="792" ht="15.75" customHeight="1">
      <c r="Q792" s="179"/>
    </row>
    <row r="793" ht="15.75" customHeight="1">
      <c r="Q793" s="179"/>
    </row>
    <row r="794" ht="15.75" customHeight="1">
      <c r="Q794" s="179"/>
    </row>
    <row r="795" ht="15.75" customHeight="1">
      <c r="Q795" s="179"/>
    </row>
    <row r="796" ht="15.75" customHeight="1">
      <c r="Q796" s="179"/>
    </row>
    <row r="797" ht="15.75" customHeight="1">
      <c r="Q797" s="179"/>
    </row>
    <row r="798" ht="15.75" customHeight="1">
      <c r="Q798" s="179"/>
    </row>
    <row r="799" ht="15.75" customHeight="1">
      <c r="Q799" s="179"/>
    </row>
    <row r="800" ht="15.75" customHeight="1">
      <c r="Q800" s="179"/>
    </row>
    <row r="801" ht="15.75" customHeight="1">
      <c r="Q801" s="179"/>
    </row>
    <row r="802" ht="15.75" customHeight="1">
      <c r="Q802" s="179"/>
    </row>
    <row r="803" ht="15.75" customHeight="1">
      <c r="Q803" s="179"/>
    </row>
    <row r="804" ht="15.75" customHeight="1">
      <c r="Q804" s="179"/>
    </row>
    <row r="805" ht="15.75" customHeight="1">
      <c r="Q805" s="179"/>
    </row>
    <row r="806" ht="15.75" customHeight="1">
      <c r="Q806" s="179"/>
    </row>
    <row r="807" ht="15.75" customHeight="1">
      <c r="Q807" s="179"/>
    </row>
    <row r="808" ht="15.75" customHeight="1">
      <c r="Q808" s="179"/>
    </row>
    <row r="809" ht="15.75" customHeight="1">
      <c r="Q809" s="179"/>
    </row>
    <row r="810" ht="15.75" customHeight="1">
      <c r="Q810" s="179"/>
    </row>
    <row r="811" ht="15.75" customHeight="1">
      <c r="Q811" s="179"/>
    </row>
    <row r="812" ht="15.75" customHeight="1">
      <c r="Q812" s="179"/>
    </row>
    <row r="813" ht="15.75" customHeight="1">
      <c r="Q813" s="179"/>
    </row>
    <row r="814" ht="15.75" customHeight="1">
      <c r="Q814" s="179"/>
    </row>
    <row r="815" ht="15.75" customHeight="1">
      <c r="Q815" s="179"/>
    </row>
    <row r="816" ht="15.75" customHeight="1">
      <c r="Q816" s="179"/>
    </row>
    <row r="817" ht="15.75" customHeight="1">
      <c r="Q817" s="179"/>
    </row>
    <row r="818" ht="15.75" customHeight="1">
      <c r="Q818" s="179"/>
    </row>
    <row r="819" ht="15.75" customHeight="1">
      <c r="Q819" s="179"/>
    </row>
    <row r="820" ht="15.75" customHeight="1">
      <c r="Q820" s="179"/>
    </row>
    <row r="821" ht="15.75" customHeight="1">
      <c r="Q821" s="179"/>
    </row>
    <row r="822" ht="15.75" customHeight="1">
      <c r="Q822" s="179"/>
    </row>
    <row r="823" ht="15.75" customHeight="1">
      <c r="Q823" s="179"/>
    </row>
    <row r="824" ht="15.75" customHeight="1">
      <c r="Q824" s="179"/>
    </row>
    <row r="825" ht="15.75" customHeight="1">
      <c r="Q825" s="179"/>
    </row>
    <row r="826" ht="15.75" customHeight="1">
      <c r="Q826" s="179"/>
    </row>
    <row r="827" ht="15.75" customHeight="1">
      <c r="Q827" s="179"/>
    </row>
    <row r="828" ht="15.75" customHeight="1">
      <c r="Q828" s="179"/>
    </row>
    <row r="829" ht="15.75" customHeight="1">
      <c r="Q829" s="179"/>
    </row>
    <row r="830" ht="15.75" customHeight="1">
      <c r="Q830" s="179"/>
    </row>
    <row r="831" ht="15.75" customHeight="1">
      <c r="Q831" s="179"/>
    </row>
    <row r="832" ht="15.75" customHeight="1">
      <c r="Q832" s="179"/>
    </row>
    <row r="833" ht="15.75" customHeight="1">
      <c r="Q833" s="179"/>
    </row>
    <row r="834" ht="15.75" customHeight="1">
      <c r="Q834" s="179"/>
    </row>
    <row r="835" ht="15.75" customHeight="1">
      <c r="Q835" s="179"/>
    </row>
    <row r="836" ht="15.75" customHeight="1">
      <c r="Q836" s="179"/>
    </row>
    <row r="837" ht="15.75" customHeight="1">
      <c r="Q837" s="179"/>
    </row>
    <row r="838" ht="15.75" customHeight="1">
      <c r="Q838" s="179"/>
    </row>
    <row r="839" ht="15.75" customHeight="1">
      <c r="Q839" s="179"/>
    </row>
    <row r="840" ht="15.75" customHeight="1">
      <c r="Q840" s="179"/>
    </row>
    <row r="841" ht="15.75" customHeight="1">
      <c r="Q841" s="179"/>
    </row>
    <row r="842" ht="15.75" customHeight="1">
      <c r="Q842" s="179"/>
    </row>
    <row r="843" ht="15.75" customHeight="1">
      <c r="Q843" s="179"/>
    </row>
    <row r="844" ht="15.75" customHeight="1">
      <c r="Q844" s="179"/>
    </row>
    <row r="845" ht="15.75" customHeight="1">
      <c r="Q845" s="179"/>
    </row>
    <row r="846" ht="15.75" customHeight="1">
      <c r="Q846" s="179"/>
    </row>
    <row r="847" ht="15.75" customHeight="1">
      <c r="Q847" s="179"/>
    </row>
    <row r="848" ht="15.75" customHeight="1">
      <c r="Q848" s="179"/>
    </row>
    <row r="849" ht="15.75" customHeight="1">
      <c r="Q849" s="179"/>
    </row>
    <row r="850" ht="15.75" customHeight="1">
      <c r="Q850" s="179"/>
    </row>
    <row r="851" ht="15.75" customHeight="1">
      <c r="Q851" s="179"/>
    </row>
    <row r="852" ht="15.75" customHeight="1">
      <c r="Q852" s="179"/>
    </row>
    <row r="853" ht="15.75" customHeight="1">
      <c r="Q853" s="179"/>
    </row>
    <row r="854" ht="15.75" customHeight="1">
      <c r="Q854" s="179"/>
    </row>
    <row r="855" ht="15.75" customHeight="1">
      <c r="Q855" s="179"/>
    </row>
    <row r="856" ht="15.75" customHeight="1">
      <c r="Q856" s="179"/>
    </row>
    <row r="857" ht="15.75" customHeight="1">
      <c r="Q857" s="179"/>
    </row>
    <row r="858" ht="15.75" customHeight="1">
      <c r="Q858" s="179"/>
    </row>
    <row r="859" ht="15.75" customHeight="1">
      <c r="Q859" s="179"/>
    </row>
    <row r="860" ht="15.75" customHeight="1">
      <c r="Q860" s="179"/>
    </row>
    <row r="861" ht="15.75" customHeight="1">
      <c r="Q861" s="179"/>
    </row>
    <row r="862" ht="15.75" customHeight="1">
      <c r="Q862" s="179"/>
    </row>
    <row r="863" ht="15.75" customHeight="1">
      <c r="Q863" s="179"/>
    </row>
    <row r="864" ht="15.75" customHeight="1">
      <c r="Q864" s="179"/>
    </row>
    <row r="865" ht="15.75" customHeight="1">
      <c r="Q865" s="179"/>
    </row>
    <row r="866" ht="15.75" customHeight="1">
      <c r="Q866" s="179"/>
    </row>
    <row r="867" ht="15.75" customHeight="1">
      <c r="Q867" s="179"/>
    </row>
    <row r="868" ht="15.75" customHeight="1">
      <c r="Q868" s="179"/>
    </row>
    <row r="869" ht="15.75" customHeight="1">
      <c r="Q869" s="179"/>
    </row>
    <row r="870" ht="15.75" customHeight="1">
      <c r="Q870" s="179"/>
    </row>
    <row r="871" ht="15.75" customHeight="1">
      <c r="Q871" s="179"/>
    </row>
    <row r="872" ht="15.75" customHeight="1">
      <c r="Q872" s="179"/>
    </row>
    <row r="873" ht="15.75" customHeight="1">
      <c r="Q873" s="179"/>
    </row>
    <row r="874" ht="15.75" customHeight="1">
      <c r="Q874" s="179"/>
    </row>
    <row r="875" ht="15.75" customHeight="1">
      <c r="Q875" s="179"/>
    </row>
    <row r="876" ht="15.75" customHeight="1">
      <c r="Q876" s="179"/>
    </row>
    <row r="877" ht="15.75" customHeight="1">
      <c r="Q877" s="179"/>
    </row>
    <row r="878" ht="15.75" customHeight="1">
      <c r="Q878" s="179"/>
    </row>
    <row r="879" ht="15.75" customHeight="1">
      <c r="Q879" s="179"/>
    </row>
    <row r="880" ht="15.75" customHeight="1">
      <c r="Q880" s="179"/>
    </row>
    <row r="881" ht="15.75" customHeight="1">
      <c r="Q881" s="179"/>
    </row>
    <row r="882" ht="15.75" customHeight="1">
      <c r="Q882" s="179"/>
    </row>
    <row r="883" ht="15.75" customHeight="1">
      <c r="Q883" s="179"/>
    </row>
    <row r="884" ht="15.75" customHeight="1">
      <c r="Q884" s="179"/>
    </row>
    <row r="885" ht="15.75" customHeight="1">
      <c r="Q885" s="179"/>
    </row>
    <row r="886" ht="15.75" customHeight="1">
      <c r="Q886" s="179"/>
    </row>
    <row r="887" ht="15.75" customHeight="1">
      <c r="Q887" s="179"/>
    </row>
    <row r="888" ht="15.75" customHeight="1">
      <c r="Q888" s="179"/>
    </row>
    <row r="889" ht="15.75" customHeight="1">
      <c r="Q889" s="179"/>
    </row>
    <row r="890" ht="15.75" customHeight="1">
      <c r="Q890" s="179"/>
    </row>
    <row r="891" ht="15.75" customHeight="1">
      <c r="Q891" s="179"/>
    </row>
    <row r="892" ht="15.75" customHeight="1">
      <c r="Q892" s="179"/>
    </row>
    <row r="893" ht="15.75" customHeight="1">
      <c r="Q893" s="179"/>
    </row>
    <row r="894" ht="15.75" customHeight="1">
      <c r="Q894" s="179"/>
    </row>
    <row r="895" ht="15.75" customHeight="1">
      <c r="Q895" s="179"/>
    </row>
    <row r="896" ht="15.75" customHeight="1">
      <c r="Q896" s="179"/>
    </row>
    <row r="897" ht="15.75" customHeight="1">
      <c r="Q897" s="179"/>
    </row>
    <row r="898" ht="15.75" customHeight="1">
      <c r="Q898" s="179"/>
    </row>
    <row r="899" ht="15.75" customHeight="1">
      <c r="Q899" s="179"/>
    </row>
    <row r="900" ht="15.75" customHeight="1">
      <c r="Q900" s="179"/>
    </row>
    <row r="901" ht="15.75" customHeight="1">
      <c r="Q901" s="179"/>
    </row>
    <row r="902" ht="15.75" customHeight="1">
      <c r="Q902" s="179"/>
    </row>
    <row r="903" ht="15.75" customHeight="1">
      <c r="Q903" s="179"/>
    </row>
    <row r="904" ht="15.75" customHeight="1">
      <c r="Q904" s="179"/>
    </row>
    <row r="905" ht="15.75" customHeight="1">
      <c r="Q905" s="179"/>
    </row>
    <row r="906" ht="15.75" customHeight="1">
      <c r="Q906" s="179"/>
    </row>
    <row r="907" ht="15.75" customHeight="1">
      <c r="Q907" s="179"/>
    </row>
    <row r="908" ht="15.75" customHeight="1">
      <c r="Q908" s="179"/>
    </row>
    <row r="909" ht="15.75" customHeight="1">
      <c r="Q909" s="179"/>
    </row>
    <row r="910" ht="15.75" customHeight="1">
      <c r="Q910" s="179"/>
    </row>
    <row r="911" ht="15.75" customHeight="1">
      <c r="Q911" s="179"/>
    </row>
    <row r="912" ht="15.75" customHeight="1">
      <c r="Q912" s="179"/>
    </row>
    <row r="913" ht="15.75" customHeight="1">
      <c r="Q913" s="179"/>
    </row>
    <row r="914" ht="15.75" customHeight="1">
      <c r="Q914" s="179"/>
    </row>
    <row r="915" ht="15.75" customHeight="1">
      <c r="Q915" s="179"/>
    </row>
    <row r="916" ht="15.75" customHeight="1">
      <c r="Q916" s="179"/>
    </row>
    <row r="917" ht="15.75" customHeight="1">
      <c r="Q917" s="179"/>
    </row>
    <row r="918" ht="15.75" customHeight="1">
      <c r="Q918" s="179"/>
    </row>
    <row r="919" ht="15.75" customHeight="1">
      <c r="Q919" s="179"/>
    </row>
    <row r="920" ht="15.75" customHeight="1">
      <c r="Q920" s="179"/>
    </row>
    <row r="921" ht="15.75" customHeight="1">
      <c r="Q921" s="179"/>
    </row>
    <row r="922" ht="15.75" customHeight="1">
      <c r="Q922" s="179"/>
    </row>
    <row r="923" ht="15.75" customHeight="1">
      <c r="Q923" s="179"/>
    </row>
    <row r="924" ht="15.75" customHeight="1">
      <c r="Q924" s="179"/>
    </row>
    <row r="925" ht="15.75" customHeight="1">
      <c r="Q925" s="179"/>
    </row>
    <row r="926" ht="15.75" customHeight="1">
      <c r="Q926" s="179"/>
    </row>
    <row r="927" ht="15.75" customHeight="1">
      <c r="Q927" s="179"/>
    </row>
    <row r="928" ht="15.75" customHeight="1">
      <c r="Q928" s="179"/>
    </row>
    <row r="929" ht="15.75" customHeight="1">
      <c r="Q929" s="179"/>
    </row>
    <row r="930" ht="15.75" customHeight="1">
      <c r="Q930" s="179"/>
    </row>
    <row r="931" ht="15.75" customHeight="1">
      <c r="Q931" s="179"/>
    </row>
    <row r="932" ht="15.75" customHeight="1">
      <c r="Q932" s="179"/>
    </row>
    <row r="933" ht="15.75" customHeight="1">
      <c r="Q933" s="179"/>
    </row>
    <row r="934" ht="15.75" customHeight="1">
      <c r="Q934" s="179"/>
    </row>
    <row r="935" ht="15.75" customHeight="1">
      <c r="Q935" s="179"/>
    </row>
    <row r="936" ht="15.75" customHeight="1">
      <c r="Q936" s="179"/>
    </row>
    <row r="937" ht="15.75" customHeight="1">
      <c r="Q937" s="179"/>
    </row>
    <row r="938" ht="15.75" customHeight="1">
      <c r="Q938" s="179"/>
    </row>
    <row r="939" ht="15.75" customHeight="1">
      <c r="Q939" s="179"/>
    </row>
    <row r="940" ht="15.75" customHeight="1">
      <c r="Q940" s="179"/>
    </row>
    <row r="941" ht="15.75" customHeight="1">
      <c r="Q941" s="179"/>
    </row>
    <row r="942" ht="15.75" customHeight="1">
      <c r="Q942" s="179"/>
    </row>
    <row r="943" ht="15.75" customHeight="1">
      <c r="Q943" s="179"/>
    </row>
    <row r="944" ht="15.75" customHeight="1">
      <c r="Q944" s="179"/>
    </row>
    <row r="945" ht="15.75" customHeight="1">
      <c r="Q945" s="179"/>
    </row>
    <row r="946" ht="15.75" customHeight="1">
      <c r="Q946" s="179"/>
    </row>
    <row r="947" ht="15.75" customHeight="1">
      <c r="Q947" s="179"/>
    </row>
    <row r="948" ht="15.75" customHeight="1">
      <c r="Q948" s="179"/>
    </row>
    <row r="949" ht="15.75" customHeight="1">
      <c r="Q949" s="179"/>
    </row>
    <row r="950" ht="15.75" customHeight="1">
      <c r="Q950" s="179"/>
    </row>
    <row r="951" ht="15.75" customHeight="1">
      <c r="Q951" s="179"/>
    </row>
    <row r="952" ht="15.75" customHeight="1">
      <c r="Q952" s="179"/>
    </row>
    <row r="953" ht="15.75" customHeight="1">
      <c r="Q953" s="179"/>
    </row>
    <row r="954" ht="15.75" customHeight="1">
      <c r="Q954" s="179"/>
    </row>
    <row r="955" ht="15.75" customHeight="1">
      <c r="Q955" s="179"/>
    </row>
    <row r="956" ht="15.75" customHeight="1">
      <c r="Q956" s="179"/>
    </row>
    <row r="957" ht="15.75" customHeight="1">
      <c r="Q957" s="179"/>
    </row>
    <row r="958" ht="15.75" customHeight="1">
      <c r="Q958" s="179"/>
    </row>
    <row r="959" ht="15.75" customHeight="1">
      <c r="Q959" s="179"/>
    </row>
    <row r="960" ht="15.75" customHeight="1">
      <c r="Q960" s="179"/>
    </row>
    <row r="961" ht="15.75" customHeight="1">
      <c r="Q961" s="179"/>
    </row>
    <row r="962" ht="15.75" customHeight="1">
      <c r="Q962" s="179"/>
    </row>
    <row r="963" ht="15.75" customHeight="1">
      <c r="Q963" s="179"/>
    </row>
    <row r="964" ht="15.75" customHeight="1">
      <c r="Q964" s="179"/>
    </row>
    <row r="965" ht="15.75" customHeight="1">
      <c r="Q965" s="179"/>
    </row>
    <row r="966" ht="15.75" customHeight="1">
      <c r="Q966" s="179"/>
    </row>
    <row r="967" ht="15.75" customHeight="1">
      <c r="Q967" s="179"/>
    </row>
    <row r="968" ht="15.75" customHeight="1">
      <c r="Q968" s="179"/>
    </row>
    <row r="969" ht="15.75" customHeight="1">
      <c r="Q969" s="179"/>
    </row>
    <row r="970" ht="15.75" customHeight="1">
      <c r="Q970" s="179"/>
    </row>
    <row r="971" ht="15.75" customHeight="1">
      <c r="Q971" s="179"/>
    </row>
    <row r="972" ht="15.75" customHeight="1">
      <c r="Q972" s="179"/>
    </row>
    <row r="973" ht="15.75" customHeight="1">
      <c r="Q973" s="179"/>
    </row>
    <row r="974" ht="15.75" customHeight="1">
      <c r="Q974" s="179"/>
    </row>
    <row r="975" ht="15.75" customHeight="1">
      <c r="Q975" s="179"/>
    </row>
    <row r="976" ht="15.75" customHeight="1">
      <c r="Q976" s="179"/>
    </row>
    <row r="977" ht="15.75" customHeight="1">
      <c r="Q977" s="179"/>
    </row>
    <row r="978" ht="15.75" customHeight="1">
      <c r="Q978" s="179"/>
    </row>
    <row r="979" ht="15.75" customHeight="1">
      <c r="Q979" s="179"/>
    </row>
    <row r="980" ht="15.75" customHeight="1">
      <c r="Q980" s="179"/>
    </row>
    <row r="981" ht="15.75" customHeight="1">
      <c r="Q981" s="179"/>
    </row>
    <row r="982" ht="15.75" customHeight="1">
      <c r="Q982" s="179"/>
    </row>
    <row r="983" ht="15.75" customHeight="1">
      <c r="Q983" s="179"/>
    </row>
    <row r="984" ht="15.75" customHeight="1">
      <c r="Q984" s="179"/>
    </row>
    <row r="985" ht="15.75" customHeight="1">
      <c r="Q985" s="179"/>
    </row>
    <row r="986" ht="15.75" customHeight="1">
      <c r="Q986" s="179"/>
    </row>
    <row r="987" ht="15.75" customHeight="1">
      <c r="Q987" s="179"/>
    </row>
    <row r="988" ht="15.75" customHeight="1">
      <c r="Q988" s="179"/>
    </row>
    <row r="989" ht="15.75" customHeight="1">
      <c r="Q989" s="179"/>
    </row>
    <row r="990" ht="15.75" customHeight="1">
      <c r="Q990" s="179"/>
    </row>
    <row r="991" ht="15.75" customHeight="1">
      <c r="Q991" s="179"/>
    </row>
    <row r="992" ht="15.75" customHeight="1">
      <c r="Q992" s="179"/>
    </row>
    <row r="993" ht="15.75" customHeight="1">
      <c r="Q993" s="179"/>
    </row>
    <row r="994" ht="15.75" customHeight="1">
      <c r="Q994" s="179"/>
    </row>
    <row r="995" ht="15.75" customHeight="1">
      <c r="Q995" s="179"/>
    </row>
    <row r="996" ht="15.75" customHeight="1">
      <c r="Q996" s="179"/>
    </row>
    <row r="997" ht="15.75" customHeight="1">
      <c r="Q997" s="179"/>
    </row>
    <row r="998" ht="15.75" customHeight="1">
      <c r="Q998" s="179"/>
    </row>
    <row r="999" ht="15.75" customHeight="1">
      <c r="Q999" s="179"/>
    </row>
    <row r="1000" ht="15.75" customHeight="1">
      <c r="Q1000" s="179"/>
    </row>
  </sheetData>
  <mergeCells count="23">
    <mergeCell ref="A1:P1"/>
    <mergeCell ref="A2:E2"/>
    <mergeCell ref="F2:P2"/>
    <mergeCell ref="A3:B3"/>
    <mergeCell ref="C3:L3"/>
    <mergeCell ref="M3:N3"/>
    <mergeCell ref="O3:P3"/>
    <mergeCell ref="C5:K5"/>
    <mergeCell ref="L5:N5"/>
    <mergeCell ref="O5:P5"/>
    <mergeCell ref="A6:P6"/>
    <mergeCell ref="A7:P7"/>
    <mergeCell ref="A17:P17"/>
    <mergeCell ref="J26:O26"/>
    <mergeCell ref="A27:P27"/>
    <mergeCell ref="J38:O38"/>
    <mergeCell ref="A4:B4"/>
    <mergeCell ref="C4:F4"/>
    <mergeCell ref="G4:H4"/>
    <mergeCell ref="I4:L4"/>
    <mergeCell ref="M4:N4"/>
    <mergeCell ref="O4:P4"/>
    <mergeCell ref="A5:B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2018-05-30T04:25:52Z</dcterms:created>
  <dc:creator>Dilip</dc:creator>
</cp:coreProperties>
</file>